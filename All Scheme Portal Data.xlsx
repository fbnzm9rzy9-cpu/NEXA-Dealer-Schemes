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D:\Chetan\01----EBRW Dump\"/>
    </mc:Choice>
  </mc:AlternateContent>
  <xr:revisionPtr revIDLastSave="0" documentId="8_{C3D5B39E-08C0-4701-8C5B-D3C3916033FB}" xr6:coauthVersionLast="36" xr6:coauthVersionMax="36" xr10:uidLastSave="{00000000-0000-0000-0000-000000000000}"/>
  <bookViews>
    <workbookView xWindow="0" yWindow="0" windowWidth="20490" windowHeight="8805" xr2:uid="{CDF0D6BD-75E0-42D7-B0C2-1553828CC8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<sst xmlns="http://schemas.openxmlformats.org/spreadsheetml/2006/main" count="516" uniqueCount="205">
  <si>
    <t>Dealer</t>
  </si>
  <si>
    <t>CODE</t>
  </si>
  <si>
    <t>PASSWORD</t>
  </si>
  <si>
    <t>Vahan Retail Cashback - October</t>
  </si>
  <si>
    <t>Maruti Power Perfromer 2.0</t>
  </si>
  <si>
    <t>Maruti Suzuki Premier League</t>
  </si>
  <si>
    <t>NEXA Achiever's Club</t>
  </si>
  <si>
    <t>Mega Dealer Retail Cashback - October</t>
  </si>
  <si>
    <t>Grand Vitara Strong Hybrid Super Cashback</t>
  </si>
  <si>
    <t>Dealer Trade Discount Scheme || October</t>
  </si>
  <si>
    <t>Scheme Conditions</t>
  </si>
  <si>
    <t>Scheme Period - September'26 to December'26</t>
  </si>
  <si>
    <t>Super Qualifying Condition - No net retail de-growth during Sep’26 to Nov'26 over Sep’25 to Nov'25.</t>
  </si>
  <si>
    <t>Target Slabs : Sigma - 0%, Delta - 2%, Zeta - 4%, Alpha - 7%</t>
  </si>
  <si>
    <t>Super Qualifying Condition
100% Vahan Target in OCT’26 at Region Parent Level to qualify for 100% per car incentive as per qualified slab, else payout shall be 50% of the qualified slab amount
Minimum 90% All Models NET BI Retail Target achievement between 1st Oct’26 – 31st Oct’26 (both days inclusive)</t>
  </si>
  <si>
    <t>It is mandatory to achieve at least 100% Vahan Target in OCT’26 at Region Parent Level to qualify for 100% per car incentive as per qualified slab, else payout shall be 50% of the qualified slab amount.</t>
  </si>
  <si>
    <t>Qualifying Condition : 97% Wholesale Target Achievement of GV (All Variants) at Parent level</t>
  </si>
  <si>
    <t>Slab 1 : &gt;=0% to &lt;3% : 700 || Slab 2 : &gt;=3% to &lt;5% : 1,000 || Slab 3 : &gt;=5% : 1,500</t>
  </si>
  <si>
    <t>At least 95% of Non-cancelled DMS retail should have Vahan registration or Maruti Insurance. Retail Period: 1st Sep'26 to 31st Dec'26. Vahan/MI Period: 1st Sep'26 to 7th Jan'27 for scheme period's retail</t>
  </si>
  <si>
    <t>At least 95% of Non-cancelled DMS retail should have Vahan registration or Maruti Insurance. Retail Period: 1st Sep'26 to 31st Dec'26. Vahan/MI Period: 1st Sep'26 to 17th Jan'27 for scheme period's retail</t>
  </si>
  <si>
    <t>SUPER QUALIFYING CONDITION 
It is mandatory to achieve at least 100% Vahan Target in OCT’26 at Region Parent Level to qualify for 100% per car incentive as per qualified slab, else payout shall be 50% of the qualified slab amount
90% NET BI Retail Target Achievement of GV (All Variants) at Parent level</t>
  </si>
  <si>
    <t>Additional Earning opprtunity September : No retail de-growth of “All Models combined retail (Excluding CNG Variants)” in Sep’26 (ie. from 1st Sep’26 - 30th Sep’26) over Q1’26-27 monthly retail average of “All Models combined retail (Excluding CNG Variants)</t>
  </si>
  <si>
    <t>Ranking Condition 1 : Sept to Nov - All Models (excluding CNG variants) Net retail growth during Sep’26 to Nov'26 over Sep’25 to Nov'25 (Weightage - 30%)</t>
  </si>
  <si>
    <t>Additional Earning Opprtunity of 25% (October) - Atleast 25% retail growth in Grand Vitara &amp; e VITARA (combined) in Oct'26 over Q3'25-26 monthly average retail.</t>
  </si>
  <si>
    <t>Qualifying Condition - Minimum 90% All Models Retail Target Achievement of between 1st Oct’26 – 31st Oct’26 (both days inclusive)</t>
  </si>
  <si>
    <t>Ranking Condition 2 : September - Net Retail Growth (All Models) in Sep'26 over the Apr'26 to Jun'26 average monthly Net Retail</t>
  </si>
  <si>
    <t>Slab Growth shall be considered basis retail done in Q3’26-27 over Q3’25-26 (excluding Ignis).</t>
  </si>
  <si>
    <t>Target</t>
  </si>
  <si>
    <t>Achievement</t>
  </si>
  <si>
    <t>Pendency</t>
  </si>
  <si>
    <t>Gap
(Target-Pipeline)</t>
  </si>
  <si>
    <t>Current Earnings</t>
  </si>
  <si>
    <t>Earing Potential</t>
  </si>
  <si>
    <t>Qualification Status</t>
  </si>
  <si>
    <t>Scheme Achievement</t>
  </si>
  <si>
    <t>Additional Earning Opportunity (September)</t>
  </si>
  <si>
    <t>Earning Potential</t>
  </si>
  <si>
    <t>Dealer Group</t>
  </si>
  <si>
    <t>Super Qualifying Criteria</t>
  </si>
  <si>
    <t>Ranking Condition 1 : Sept to Nov</t>
  </si>
  <si>
    <t>Ranking Condition 2 : Sept</t>
  </si>
  <si>
    <t>Slab Achievement</t>
  </si>
  <si>
    <t>Additional Earning Opportunity - October</t>
  </si>
  <si>
    <t>Wholesale Achievement</t>
  </si>
  <si>
    <t>Payout</t>
  </si>
  <si>
    <t>Qualifying Criteria - All Model Retail</t>
  </si>
  <si>
    <t>Grand Vitara Strong Hybrid</t>
  </si>
  <si>
    <t>Invicto</t>
  </si>
  <si>
    <t>XL6</t>
  </si>
  <si>
    <t>Jimny</t>
  </si>
  <si>
    <t>Current Earning</t>
  </si>
  <si>
    <t>Achi%</t>
  </si>
  <si>
    <t>Super Qualifying Condition Status</t>
  </si>
  <si>
    <t xml:space="preserve">GV Wholesale </t>
  </si>
  <si>
    <t>WS Payout</t>
  </si>
  <si>
    <t>Gap</t>
  </si>
  <si>
    <t>All Model Retail Base
(Sep-Dec)</t>
  </si>
  <si>
    <t>Retail Required
(@5% Growth)</t>
  </si>
  <si>
    <t>Retail Achievement</t>
  </si>
  <si>
    <t>Petrol Retail
(Q1 Avg)</t>
  </si>
  <si>
    <t>Current Petrol Retails</t>
  </si>
  <si>
    <t>Growth</t>
  </si>
  <si>
    <t>Retail Base Sep - Nov</t>
  </si>
  <si>
    <t>Retail Achi</t>
  </si>
  <si>
    <t>Growth%</t>
  </si>
  <si>
    <t>Petrol Base</t>
  </si>
  <si>
    <t>Petrol Retail</t>
  </si>
  <si>
    <t>Q1 Average Retail Base</t>
  </si>
  <si>
    <t>Achi</t>
  </si>
  <si>
    <t>Retail Base (Excluding Ignis)</t>
  </si>
  <si>
    <t>Gap Sigma
900 /Car</t>
  </si>
  <si>
    <t>Gap Delta
1100 /Car</t>
  </si>
  <si>
    <t>Gap Zeta
1400 /Car</t>
  </si>
  <si>
    <t>Gap Alpha
1800 /Car</t>
  </si>
  <si>
    <t>Q3 GV and EV Avg Retail</t>
  </si>
  <si>
    <t>Required Retail</t>
  </si>
  <si>
    <t>Achi Net BI</t>
  </si>
  <si>
    <t>DMS backed by MI</t>
  </si>
  <si>
    <t>Slab</t>
  </si>
  <si>
    <t>GV Retail Target</t>
  </si>
  <si>
    <t>GV Sigma</t>
  </si>
  <si>
    <t>GV Delta</t>
  </si>
  <si>
    <t>Adinath</t>
  </si>
  <si>
    <t>G1NA</t>
  </si>
  <si>
    <t>Not-Qualified</t>
  </si>
  <si>
    <t>B</t>
  </si>
  <si>
    <t>Not-Quaified</t>
  </si>
  <si>
    <t>No Slab</t>
  </si>
  <si>
    <t>City</t>
  </si>
  <si>
    <t>D7NA</t>
  </si>
  <si>
    <t>Infinity</t>
  </si>
  <si>
    <t>KMNA</t>
  </si>
  <si>
    <t>D</t>
  </si>
  <si>
    <t>Jeewan</t>
  </si>
  <si>
    <t>03NB</t>
  </si>
  <si>
    <t>Kamthi</t>
  </si>
  <si>
    <t>U5NA</t>
  </si>
  <si>
    <t>C</t>
  </si>
  <si>
    <t>KTL</t>
  </si>
  <si>
    <t>53NE</t>
  </si>
  <si>
    <t>National A</t>
  </si>
  <si>
    <t>Nikunj</t>
  </si>
  <si>
    <t>30NB</t>
  </si>
  <si>
    <t>Nimar</t>
  </si>
  <si>
    <t>AUNA</t>
  </si>
  <si>
    <t>Ocean</t>
  </si>
  <si>
    <t>53NB</t>
  </si>
  <si>
    <t>A</t>
  </si>
  <si>
    <t>Patel</t>
  </si>
  <si>
    <t>53NA</t>
  </si>
  <si>
    <t>Prem</t>
  </si>
  <si>
    <t>30NA</t>
  </si>
  <si>
    <t>Rajrup</t>
  </si>
  <si>
    <t>03NC</t>
  </si>
  <si>
    <t>Rukmani</t>
  </si>
  <si>
    <t>53NC</t>
  </si>
  <si>
    <t>Shubh</t>
  </si>
  <si>
    <t>54ND</t>
  </si>
  <si>
    <t>Standard</t>
  </si>
  <si>
    <t>54NC</t>
  </si>
  <si>
    <t>Unitara</t>
  </si>
  <si>
    <t>3QNB</t>
  </si>
  <si>
    <t>Yug</t>
  </si>
  <si>
    <t>3WNA</t>
  </si>
  <si>
    <t>Total Pipeline
(Achievement + Pendency)</t>
  </si>
  <si>
    <t>Total Pipeline</t>
  </si>
  <si>
    <t>Elevate and Earn Q3</t>
  </si>
  <si>
    <t>1. Models Applicable:  Grand Vitara, Baleno, Fronx &amp; XL6</t>
  </si>
  <si>
    <t>2.Qualifying Condition:
a .At least 90% overall retail achievement of applicable models over last year same period (Oct’25-Dec’25) at region parent level.
b. At least 95% of non-cancelled retail (of applicable models) at region parent level should have Vahan registration or Maruti Insurance.</t>
  </si>
  <si>
    <t xml:space="preserve">Payout Slab - </t>
  </si>
  <si>
    <t>Dealer Slabs</t>
  </si>
  <si>
    <t>Slab1</t>
  </si>
  <si>
    <t>Slab2</t>
  </si>
  <si>
    <t>Slab3</t>
  </si>
  <si>
    <t>Incremental Higher Variant Growth*</t>
  </si>
  <si>
    <t>&gt;=2% to &lt;4%</t>
  </si>
  <si>
    <t>&gt;=4% to &lt;6%</t>
  </si>
  <si>
    <t>&gt;=6%</t>
  </si>
  <si>
    <t>Ranking Condition 3 : September - All models (excluding CNG variants) Net Retail growth during Oct'26 over Oct'25</t>
  </si>
  <si>
    <t>Dealer Payout per Incremental vehicle</t>
  </si>
  <si>
    <t>HO Ranking
(As on 9th October)</t>
  </si>
  <si>
    <t>Ranking Condition 3 : October</t>
  </si>
  <si>
    <t>All Model Retail</t>
  </si>
  <si>
    <t>Higher Variant Retail</t>
  </si>
  <si>
    <t>Incremental Slab</t>
  </si>
  <si>
    <t>Oct'25 Retail Base</t>
  </si>
  <si>
    <t>Base</t>
  </si>
  <si>
    <t>MTD Retail</t>
  </si>
  <si>
    <t>Incremental Growth</t>
  </si>
  <si>
    <t>K7@mP2#x</t>
  </si>
  <si>
    <t>Not Qualified</t>
  </si>
  <si>
    <t>R4!vN8$q</t>
  </si>
  <si>
    <t>T9#bL3@w</t>
  </si>
  <si>
    <t>Slab 1</t>
  </si>
  <si>
    <t>H6&amp;zC1!p</t>
  </si>
  <si>
    <t>M2@kF7%r</t>
  </si>
  <si>
    <t>B8!nQ4$x</t>
  </si>
  <si>
    <t>W3#dJ9@t</t>
  </si>
  <si>
    <t>P5%hR2&amp;v</t>
  </si>
  <si>
    <t>C1@xG6!m</t>
  </si>
  <si>
    <t>F9!rK2@b</t>
  </si>
  <si>
    <t>L4&amp;vT8%z</t>
  </si>
  <si>
    <t>N6#pA3!w</t>
  </si>
  <si>
    <t>Z2@mH7$q</t>
  </si>
  <si>
    <t>D8!kW5%x</t>
  </si>
  <si>
    <t>G3@tP9&amp;c</t>
  </si>
  <si>
    <t>V5#nB1$r</t>
  </si>
  <si>
    <t>ROC4</t>
  </si>
  <si>
    <t>MPNEXA</t>
  </si>
  <si>
    <t>Super Qualifying Criteria: It is compulsory to achieve atleast 65% Retail &amp; 65% Vahan Target* for October-26 by 20th October’26 to qualify for any Incentive. 
(*BI Net Retail will be considered to calculate above qualifying Criteria.)</t>
  </si>
  <si>
    <t>Qualifying Criteria: It is compulsory to achieve atleast 100% Retail Target for October-26 to qualify for any Incentive. BI Net Retail will be considered to calculate Retail Target Achievement.
100% Permanent Registration Target Achievement for October-26 at Region Parent Dealer Level.</t>
  </si>
  <si>
    <t>Registration duration</t>
  </si>
  <si>
    <t>PER CAR INCENTIVE – ON ALL MODEL PETROL VARIANTS ONLY</t>
  </si>
  <si>
    <t>BASE SLAB</t>
  </si>
  <si>
    <t>TOP SLAB</t>
  </si>
  <si>
    <t>1st – 31st Oct’26</t>
  </si>
  <si>
    <t xml:space="preserve">Target - October
Phase 1 </t>
  </si>
  <si>
    <t>Baleno99@@**</t>
  </si>
  <si>
    <t>Rural Winners Club</t>
  </si>
  <si>
    <t>1. Scheme Slabs &amp; Payout:
The scheme shall run on Rural retail growth achievement over same period last year (ie. Sep’25 – Nov’25) and on achieving the requisite growth, the dealer shall be eligible for below mentioned amount as per the respective growth slab achieved
2. Additional Earning Opportunity:
Criteria for additional payout: All NEXA model Rural retails (Excluding CNG) growth greater than 5%
3.Qualifying Condition
All dealer parents should achieve (for all NEXA models combined):
No Retail degrowth during scheme period in Total Retails over same period last year.
No Retail degrowth during scheme period for the Non-Rural Retail over same period last year.
4.Other Terms &amp; Conditions
Scheme calculations shall be done on non-cancelled DMS Rural retail of applicable NEXA models &amp; Focus Model as mentioned in scheme details.
Payout shall be made on non-cancelled DMS Rural Retail of applicable scheme models that are backed by Vahan Registration / MI from 1 Sep 2026 to 7 Dec 2026.</t>
  </si>
  <si>
    <t>Payout Slab</t>
  </si>
  <si>
    <t>Rural Retail Growth</t>
  </si>
  <si>
    <t>Additional Earning Opportunity</t>
  </si>
  <si>
    <t>Rural Retail Except CNG Growth</t>
  </si>
  <si>
    <t>Additional Payout</t>
  </si>
  <si>
    <t>2%-5%</t>
  </si>
  <si>
    <t>Rs. 200/ Vehicle</t>
  </si>
  <si>
    <t>Rs. 100/ Vehicle</t>
  </si>
  <si>
    <t>&gt;5%-7%</t>
  </si>
  <si>
    <t>Rs. 400/ Vehicle</t>
  </si>
  <si>
    <t>&gt;7%-10%</t>
  </si>
  <si>
    <t>Rs. 750/ Vehicle</t>
  </si>
  <si>
    <t>Rs. 350/ Vehicle</t>
  </si>
  <si>
    <t>&gt;10%</t>
  </si>
  <si>
    <t>Rs. 1500/ Vehicle</t>
  </si>
  <si>
    <t>Rs. 600/ Vehicle</t>
  </si>
  <si>
    <t>All Model Rural Retail</t>
  </si>
  <si>
    <t>Gap - All Model Rural Retail</t>
  </si>
  <si>
    <t>Rural Retail Except CNG</t>
  </si>
  <si>
    <t>Gap - Rural Retail Except CNG</t>
  </si>
  <si>
    <t xml:space="preserve">Qualifying Criteria - All Model Retail </t>
  </si>
  <si>
    <t>Qualified</t>
  </si>
  <si>
    <t>e VITARA Charge Ahead Cashback Scheme</t>
  </si>
  <si>
    <t>Scheme Retail Duration      - 1st Sep’26 – 31st Dec’26 (both days inclusive)
Scheme MI/Vahan Duration - 1st Sep’26 – 17th Jan’27 (both days inclusive)
Models Applicable                - e VITARA (all variants)
Qualifying Condition            - Minimum 100% retail target achievement for the scheme period</t>
  </si>
  <si>
    <t>Target Sept -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</si>
</sst>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XDR&quot;;[Red]\-#,##0.00\ &quot;XDR&quot;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000000"/>
      <name val="Daytona"/>
      <family val="2"/>
    </font>
    <font>
      <b/>
      <sz val="12"/>
      <color rgb="FF000000"/>
      <name val="Daytona"/>
      <family val="2"/>
    </font>
    <font>
      <b/>
      <sz val="14"/>
      <color theme="1"/>
      <name val="Daytona"/>
      <family val="2"/>
    </font>
    <font>
      <sz val="9"/>
      <color theme="1"/>
      <name val="Roboto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FFFFF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6" borderId="43" xfId="0" applyFont="1" applyFill="1" applyBorder="1" applyAlignment="1">
      <alignment horizontal="center" vertical="center" wrapText="1"/>
    </xf>
    <xf numFmtId="0" fontId="4" fillId="7" borderId="41" xfId="0" applyFont="1" applyFill="1" applyBorder="1" applyAlignment="1">
      <alignment horizontal="center" vertical="center" wrapText="1"/>
    </xf>
    <xf numFmtId="0" fontId="4" fillId="7" borderId="43" xfId="0" applyFont="1" applyFill="1" applyBorder="1" applyAlignment="1">
      <alignment horizontal="center" vertical="center" wrapText="1"/>
    </xf>
    <xf numFmtId="0" fontId="4" fillId="7" borderId="42" xfId="0" applyFont="1" applyFill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9" fontId="5" fillId="5" borderId="14" xfId="1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0" xfId="0" applyFont="1" applyFill="1" applyBorder="1" applyAlignment="1">
      <alignment horizontal="center" vertical="center" wrapText="1"/>
    </xf>
    <xf numFmtId="0" fontId="5" fillId="6" borderId="46" xfId="0" applyFont="1" applyFill="1" applyBorder="1" applyAlignment="1">
      <alignment horizontal="center" vertical="center" wrapText="1"/>
    </xf>
    <xf numFmtId="9" fontId="5" fillId="6" borderId="40" xfId="1" applyFont="1" applyFill="1" applyBorder="1" applyAlignment="1">
      <alignment horizontal="center" vertical="center" wrapText="1"/>
    </xf>
    <xf numFmtId="0" fontId="5" fillId="7" borderId="39" xfId="0" applyFont="1" applyFill="1" applyBorder="1" applyAlignment="1">
      <alignment horizontal="center" vertical="center" wrapText="1"/>
    </xf>
    <xf numFmtId="0" fontId="5" fillId="7" borderId="46" xfId="0" applyFont="1" applyFill="1" applyBorder="1" applyAlignment="1">
      <alignment horizontal="center" vertical="center" wrapText="1"/>
    </xf>
    <xf numFmtId="0" fontId="5" fillId="7" borderId="40" xfId="0" applyFont="1" applyFill="1" applyBorder="1" applyAlignment="1">
      <alignment horizontal="center" vertical="center" wrapText="1"/>
    </xf>
    <xf numFmtId="9" fontId="5" fillId="7" borderId="40" xfId="1" applyFont="1" applyFill="1" applyBorder="1" applyAlignment="1">
      <alignment horizontal="center" vertical="center" wrapText="1"/>
    </xf>
    <xf numFmtId="9" fontId="5" fillId="6" borderId="46" xfId="1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1" fontId="5" fillId="6" borderId="40" xfId="1" applyNumberFormat="1" applyFont="1" applyFill="1" applyBorder="1" applyAlignment="1">
      <alignment horizontal="center" vertical="center" wrapText="1"/>
    </xf>
    <xf numFmtId="9" fontId="5" fillId="4" borderId="8" xfId="1" applyFont="1" applyFill="1" applyBorder="1" applyAlignment="1">
      <alignment horizontal="center" vertical="center" wrapText="1"/>
    </xf>
    <xf numFmtId="1" fontId="5" fillId="4" borderId="8" xfId="1" applyNumberFormat="1" applyFont="1" applyFill="1" applyBorder="1" applyAlignment="1">
      <alignment horizontal="center" vertical="center" wrapText="1"/>
    </xf>
    <xf numFmtId="0" fontId="5" fillId="4" borderId="8" xfId="1" applyNumberFormat="1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9" fontId="5" fillId="6" borderId="14" xfId="1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9" fontId="5" fillId="7" borderId="14" xfId="1" applyFont="1" applyFill="1" applyBorder="1" applyAlignment="1">
      <alignment horizontal="center" vertical="center" wrapText="1"/>
    </xf>
    <xf numFmtId="9" fontId="5" fillId="4" borderId="1" xfId="1" applyFont="1" applyFill="1" applyBorder="1" applyAlignment="1">
      <alignment horizontal="center" vertical="center" wrapText="1"/>
    </xf>
    <xf numFmtId="1" fontId="5" fillId="4" borderId="1" xfId="1" applyNumberFormat="1" applyFont="1" applyFill="1" applyBorder="1" applyAlignment="1">
      <alignment horizontal="center" vertical="center" wrapText="1"/>
    </xf>
    <xf numFmtId="0" fontId="5" fillId="4" borderId="1" xfId="1" applyNumberFormat="1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wrapText="1"/>
    </xf>
    <xf numFmtId="0" fontId="5" fillId="5" borderId="43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9" fontId="5" fillId="5" borderId="42" xfId="1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5" fillId="6" borderId="43" xfId="0" applyFont="1" applyFill="1" applyBorder="1" applyAlignment="1">
      <alignment horizontal="center" vertical="center" wrapText="1"/>
    </xf>
    <xf numFmtId="9" fontId="5" fillId="6" borderId="42" xfId="1" applyFont="1" applyFill="1" applyBorder="1" applyAlignment="1">
      <alignment horizontal="center" vertical="center" wrapText="1"/>
    </xf>
    <xf numFmtId="0" fontId="5" fillId="7" borderId="41" xfId="0" applyFont="1" applyFill="1" applyBorder="1" applyAlignment="1">
      <alignment horizontal="center" vertical="center" wrapText="1"/>
    </xf>
    <xf numFmtId="0" fontId="5" fillId="7" borderId="43" xfId="0" applyFont="1" applyFill="1" applyBorder="1" applyAlignment="1">
      <alignment horizontal="center" vertical="center" wrapText="1"/>
    </xf>
    <xf numFmtId="0" fontId="5" fillId="7" borderId="42" xfId="0" applyFont="1" applyFill="1" applyBorder="1" applyAlignment="1">
      <alignment horizontal="center" vertical="center" wrapText="1"/>
    </xf>
    <xf numFmtId="9" fontId="5" fillId="7" borderId="42" xfId="1" applyFont="1" applyFill="1" applyBorder="1" applyAlignment="1">
      <alignment horizontal="center" vertical="center" wrapText="1"/>
    </xf>
    <xf numFmtId="9" fontId="5" fillId="6" borderId="47" xfId="1" applyFont="1" applyFill="1" applyBorder="1" applyAlignment="1">
      <alignment horizontal="center" vertical="center" wrapText="1"/>
    </xf>
    <xf numFmtId="0" fontId="5" fillId="6" borderId="47" xfId="0" applyFont="1" applyFill="1" applyBorder="1" applyAlignment="1">
      <alignment horizontal="center" vertical="center" wrapText="1"/>
    </xf>
    <xf numFmtId="0" fontId="5" fillId="6" borderId="48" xfId="0" applyFont="1" applyFill="1" applyBorder="1" applyAlignment="1">
      <alignment horizontal="center" vertical="center" wrapText="1"/>
    </xf>
    <xf numFmtId="0" fontId="5" fillId="6" borderId="49" xfId="0" applyFont="1" applyFill="1" applyBorder="1" applyAlignment="1">
      <alignment horizontal="center" vertical="center" wrapText="1"/>
    </xf>
    <xf numFmtId="0" fontId="5" fillId="6" borderId="44" xfId="0" applyFont="1" applyFill="1" applyBorder="1" applyAlignment="1">
      <alignment horizontal="center" vertical="center" wrapText="1"/>
    </xf>
    <xf numFmtId="1" fontId="5" fillId="6" borderId="48" xfId="1" applyNumberFormat="1" applyFont="1" applyFill="1" applyBorder="1" applyAlignment="1">
      <alignment horizontal="center" vertical="center" wrapText="1"/>
    </xf>
    <xf numFmtId="9" fontId="5" fillId="4" borderId="43" xfId="1" applyFont="1" applyFill="1" applyBorder="1" applyAlignment="1">
      <alignment horizontal="center" vertical="center" wrapText="1"/>
    </xf>
    <xf numFmtId="1" fontId="5" fillId="4" borderId="43" xfId="1" applyNumberFormat="1" applyFont="1" applyFill="1" applyBorder="1" applyAlignment="1">
      <alignment horizontal="center" vertical="center" wrapText="1"/>
    </xf>
    <xf numFmtId="0" fontId="5" fillId="4" borderId="4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vertical="center" wrapText="1"/>
    </xf>
    <xf numFmtId="0" fontId="4" fillId="5" borderId="36" xfId="0" applyFont="1" applyFill="1" applyBorder="1" applyAlignment="1">
      <alignment horizontal="left" vertical="center" wrapText="1"/>
    </xf>
    <xf numFmtId="0" fontId="4" fillId="5" borderId="21" xfId="0" applyFont="1" applyFill="1" applyBorder="1" applyAlignment="1">
      <alignment horizontal="left" vertical="center" wrapText="1"/>
    </xf>
    <xf numFmtId="0" fontId="4" fillId="5" borderId="53" xfId="0" applyFont="1" applyFill="1" applyBorder="1" applyAlignment="1">
      <alignment horizontal="left" vertical="center" wrapText="1"/>
    </xf>
    <xf numFmtId="0" fontId="4" fillId="5" borderId="37" xfId="0" applyFont="1" applyFill="1" applyBorder="1" applyAlignment="1">
      <alignment horizontal="left" vertical="center" wrapText="1"/>
    </xf>
    <xf numFmtId="0" fontId="4" fillId="7" borderId="19" xfId="0" applyFont="1" applyFill="1" applyBorder="1" applyAlignment="1">
      <alignment horizontal="left" vertical="center" wrapText="1"/>
    </xf>
    <xf numFmtId="0" fontId="4" fillId="7" borderId="54" xfId="0" applyFont="1" applyFill="1" applyBorder="1" applyAlignment="1">
      <alignment horizontal="left" vertical="center" wrapText="1"/>
    </xf>
    <xf numFmtId="0" fontId="4" fillId="7" borderId="46" xfId="0" applyFont="1" applyFill="1" applyBorder="1" applyAlignment="1">
      <alignment horizontal="left" vertical="center" wrapText="1"/>
    </xf>
    <xf numFmtId="0" fontId="4" fillId="7" borderId="18" xfId="0" applyFont="1" applyFill="1" applyBorder="1" applyAlignment="1">
      <alignment horizontal="left" vertical="center" wrapText="1"/>
    </xf>
    <xf numFmtId="0" fontId="4" fillId="7" borderId="21" xfId="0" applyFont="1" applyFill="1" applyBorder="1" applyAlignment="1">
      <alignment horizontal="left" vertical="center" wrapText="1"/>
    </xf>
    <xf numFmtId="0" fontId="4" fillId="6" borderId="22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  <xf numFmtId="0" fontId="7" fillId="9" borderId="45" xfId="0" applyFont="1" applyFill="1" applyBorder="1" applyAlignment="1">
      <alignment horizontal="center" vertical="center"/>
    </xf>
    <xf numFmtId="0" fontId="6" fillId="8" borderId="55" xfId="0" applyFont="1" applyFill="1" applyBorder="1" applyAlignment="1">
      <alignment horizontal="center" vertical="center"/>
    </xf>
    <xf numFmtId="0" fontId="7" fillId="9" borderId="55" xfId="0" applyFont="1" applyFill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 wrapText="1"/>
    </xf>
    <xf numFmtId="0" fontId="5" fillId="4" borderId="36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6" borderId="21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4" fillId="4" borderId="16" xfId="0" applyFont="1" applyFill="1" applyBorder="1" applyAlignment="1">
      <alignment horizontal="left" vertical="center" wrapText="1"/>
    </xf>
    <xf numFmtId="0" fontId="4" fillId="4" borderId="17" xfId="0" applyFont="1" applyFill="1" applyBorder="1" applyAlignment="1">
      <alignment horizontal="left" vertical="center" wrapText="1"/>
    </xf>
    <xf numFmtId="0" fontId="4" fillId="4" borderId="2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22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6" borderId="41" xfId="0" applyFont="1" applyFill="1" applyBorder="1" applyAlignment="1">
      <alignment horizontal="center" vertical="center" wrapText="1"/>
    </xf>
    <xf numFmtId="0" fontId="4" fillId="6" borderId="42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4" borderId="39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4" fillId="4" borderId="16" xfId="0" applyFont="1" applyFill="1" applyBorder="1" applyAlignment="1">
      <alignment horizontal="left" vertical="center" wrapText="1"/>
    </xf>
    <xf numFmtId="0" fontId="4" fillId="4" borderId="17" xfId="0" applyFont="1" applyFill="1" applyBorder="1" applyAlignment="1">
      <alignment horizontal="left" vertical="center" wrapText="1"/>
    </xf>
    <xf numFmtId="0" fontId="4" fillId="4" borderId="2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22" xfId="0" applyFont="1" applyFill="1" applyBorder="1" applyAlignment="1">
      <alignment horizontal="left" vertical="center" wrapText="1"/>
    </xf>
    <xf numFmtId="0" fontId="4" fillId="4" borderId="18" xfId="0" applyFont="1" applyFill="1" applyBorder="1" applyAlignment="1">
      <alignment horizontal="left" vertical="center" wrapText="1"/>
    </xf>
    <xf numFmtId="0" fontId="4" fillId="4" borderId="19" xfId="0" applyFont="1" applyFill="1" applyBorder="1" applyAlignment="1">
      <alignment horizontal="left" vertical="center" wrapText="1"/>
    </xf>
    <xf numFmtId="0" fontId="4" fillId="4" borderId="20" xfId="0" applyFont="1" applyFill="1" applyBorder="1" applyAlignment="1">
      <alignment horizontal="left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4" fillId="4" borderId="46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56" xfId="0" applyFont="1" applyFill="1" applyBorder="1" applyAlignment="1">
      <alignment horizontal="center" vertical="center" wrapText="1"/>
    </xf>
    <xf numFmtId="0" fontId="4" fillId="4" borderId="53" xfId="0" applyFont="1" applyFill="1" applyBorder="1" applyAlignment="1">
      <alignment horizontal="center" vertical="center" wrapText="1"/>
    </xf>
    <xf numFmtId="0" fontId="4" fillId="4" borderId="54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 wrapText="1"/>
    </xf>
    <xf numFmtId="0" fontId="6" fillId="8" borderId="30" xfId="0" applyFont="1" applyFill="1" applyBorder="1" applyAlignment="1">
      <alignment horizontal="center" vertical="center"/>
    </xf>
    <xf numFmtId="0" fontId="6" fillId="8" borderId="45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6" fillId="2" borderId="5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 wrapText="1"/>
    </xf>
    <xf numFmtId="0" fontId="4" fillId="6" borderId="45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28" xfId="0" applyFont="1" applyFill="1" applyBorder="1" applyAlignment="1">
      <alignment horizontal="center" vertical="center" wrapText="1"/>
    </xf>
    <xf numFmtId="0" fontId="4" fillId="7" borderId="29" xfId="0" applyFont="1" applyFill="1" applyBorder="1" applyAlignment="1">
      <alignment horizontal="center" vertical="center" wrapText="1"/>
    </xf>
    <xf numFmtId="0" fontId="4" fillId="7" borderId="44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40" xfId="0" applyFont="1" applyFill="1" applyBorder="1" applyAlignment="1">
      <alignment horizontal="center" vertical="center" wrapText="1"/>
    </xf>
    <xf numFmtId="0" fontId="4" fillId="6" borderId="41" xfId="0" applyFont="1" applyFill="1" applyBorder="1" applyAlignment="1">
      <alignment horizontal="center" vertical="center" wrapText="1"/>
    </xf>
    <xf numFmtId="0" fontId="4" fillId="6" borderId="42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5" borderId="39" xfId="0" applyFont="1" applyFill="1" applyBorder="1" applyAlignment="1">
      <alignment horizontal="center" vertical="center" wrapText="1"/>
    </xf>
    <xf numFmtId="0" fontId="4" fillId="4" borderId="4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4" fillId="5" borderId="14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horizontal="left" vertical="center" wrapText="1"/>
    </xf>
    <xf numFmtId="0" fontId="4" fillId="5" borderId="25" xfId="0" applyFont="1" applyFill="1" applyBorder="1" applyAlignment="1">
      <alignment horizontal="left" vertical="center" wrapText="1"/>
    </xf>
    <xf numFmtId="0" fontId="4" fillId="6" borderId="21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50" xfId="0" applyFont="1" applyFill="1" applyBorder="1" applyAlignment="1">
      <alignment horizontal="center" vertical="center" wrapText="1"/>
    </xf>
    <xf numFmtId="0" fontId="4" fillId="6" borderId="51" xfId="0" applyFont="1" applyFill="1" applyBorder="1" applyAlignment="1">
      <alignment horizontal="center" vertical="center" wrapText="1"/>
    </xf>
    <xf numFmtId="0" fontId="4" fillId="6" borderId="5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0" xfId="0" applyFont="1" applyFill="1" applyBorder="1" applyAlignment="1">
      <alignment horizontal="left" vertical="center" wrapText="1"/>
    </xf>
    <xf numFmtId="0" fontId="4" fillId="7" borderId="14" xfId="0" applyFont="1" applyFill="1" applyBorder="1" applyAlignment="1">
      <alignment horizontal="left" vertical="center" wrapText="1"/>
    </xf>
    <xf numFmtId="0" fontId="4" fillId="4" borderId="47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4" fillId="6" borderId="12" xfId="0" applyFont="1" applyFill="1" applyBorder="1" applyAlignment="1">
      <alignment horizontal="left" vertical="center" wrapText="1"/>
    </xf>
    <xf numFmtId="0" fontId="4" fillId="6" borderId="13" xfId="0" applyFont="1" applyFill="1" applyBorder="1" applyAlignment="1">
      <alignment horizontal="left" vertical="center" wrapText="1"/>
    </xf>
    <xf numFmtId="0" fontId="4" fillId="6" borderId="15" xfId="0" applyFont="1" applyFill="1" applyBorder="1" applyAlignment="1">
      <alignment horizontal="left" vertical="center" wrapText="1"/>
    </xf>
    <xf numFmtId="0" fontId="4" fillId="6" borderId="16" xfId="0" applyFont="1" applyFill="1" applyBorder="1" applyAlignment="1">
      <alignment horizontal="left" vertical="center" wrapText="1"/>
    </xf>
    <xf numFmtId="0" fontId="4" fillId="6" borderId="17" xfId="0" applyFont="1" applyFill="1" applyBorder="1" applyAlignment="1">
      <alignment horizontal="left" vertical="center" wrapText="1"/>
    </xf>
    <xf numFmtId="0" fontId="4" fillId="6" borderId="18" xfId="0" applyFont="1" applyFill="1" applyBorder="1" applyAlignment="1">
      <alignment horizontal="left" vertical="center" wrapText="1"/>
    </xf>
    <xf numFmtId="0" fontId="4" fillId="6" borderId="19" xfId="0" applyFont="1" applyFill="1" applyBorder="1" applyAlignment="1">
      <alignment horizontal="left" vertical="center" wrapText="1"/>
    </xf>
    <xf numFmtId="0" fontId="4" fillId="6" borderId="20" xfId="0" applyFont="1" applyFill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2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4D85-6CA8-4DF4-886A-E933F44D15FE}">
  <dimension ref="A2:EF30"/>
  <sheetViews>
    <sheetView tabSelected="1" zoomScale="70" zoomScaleNormal="85" workbookViewId="0">
      <selection activeCell="B2" sqref="B2"/>
    </sheetView>
  </sheetViews>
  <sheetFormatPr defaultColWidth="8.75" defaultRowHeight="14.25" x14ac:dyDescent="0.2"/>
  <cols>
    <col min="1" max="1" width="8.75" style="3"/>
    <col min="2" max="2" width="13.375" style="3" customWidth="1"/>
    <col min="3" max="3" width="12.875" style="3" customWidth="1"/>
    <col min="4" max="4" width="16.375" style="3" customWidth="1"/>
    <col min="5" max="5" width="1.375" style="3" customWidth="1"/>
    <col min="6" max="6" width="17.625" style="84" customWidth="1"/>
    <col min="7" max="13" width="16.125" style="84" customWidth="1"/>
    <col min="14" max="14" width="1.375" style="3" customWidth="1"/>
    <col min="15" max="24" width="16.125" style="3" customWidth="1"/>
    <col min="25" max="25" width="1.375" style="3" customWidth="1"/>
    <col min="26" max="27" width="16.125" style="84" customWidth="1"/>
    <col min="28" max="28" width="16.125" style="3" customWidth="1"/>
    <col min="29" max="29" width="16.125" style="84" customWidth="1"/>
    <col min="30" max="34" width="16.125" style="3" customWidth="1"/>
    <col min="35" max="35" width="16.25" style="3" customWidth="1"/>
    <col min="36" max="37" width="16.125" style="3" customWidth="1"/>
    <col min="38" max="38" width="16.25" style="3" customWidth="1"/>
    <col min="39" max="39" width="16.125" style="3" customWidth="1"/>
    <col min="40" max="40" width="1.375" style="3" customWidth="1"/>
    <col min="41" max="47" width="16.125" style="3" customWidth="1"/>
    <col min="48" max="48" width="16.75" style="3" customWidth="1"/>
    <col min="49" max="52" width="16.125" style="3" customWidth="1"/>
    <col min="53" max="53" width="16.25" style="3" customWidth="1"/>
    <col min="54" max="54" width="16.125" style="3" customWidth="1"/>
    <col min="55" max="56" width="16.25" style="3" customWidth="1"/>
    <col min="57" max="57" width="1.375" style="3" customWidth="1"/>
    <col min="58" max="58" width="16.25" style="3" customWidth="1"/>
    <col min="59" max="59" width="17.375" style="3" customWidth="1"/>
    <col min="60" max="76" width="16.25" style="3" customWidth="1"/>
    <col min="77" max="78" width="16.375" style="3" customWidth="1"/>
    <col min="79" max="79" width="1.375" style="3" customWidth="1"/>
    <col min="80" max="85" width="16.375" style="3" customWidth="1"/>
    <col min="86" max="86" width="1.375" style="3" customWidth="1"/>
    <col min="87" max="92" width="18.875" style="3" customWidth="1"/>
    <col min="93" max="94" width="19.375" style="3" customWidth="1"/>
    <col min="95" max="96" width="18.875" style="3" customWidth="1"/>
    <col min="97" max="97" width="19.25" style="3" customWidth="1"/>
    <col min="98" max="98" width="2.375" style="3" customWidth="1"/>
    <col min="99" max="101" width="19.25" style="3" customWidth="1"/>
    <col min="102" max="104" width="19.625" style="3" customWidth="1"/>
    <col min="105" max="108" width="19.25" style="3" customWidth="1"/>
    <col min="109" max="109" width="18.625" style="3" customWidth="1"/>
    <col min="110" max="110" width="2.125" style="3" customWidth="1"/>
    <col min="111" max="129" width="18.625" style="3" customWidth="1"/>
    <col min="130" max="130" width="1.125" style="3" customWidth="1"/>
    <col min="131" max="136" width="24.125" style="3" customWidth="1"/>
    <col min="137" max="16384" width="8.75" style="3"/>
  </cols>
  <sheetData>
    <row r="2" spans="1:136" ht="15.75" thickBot="1" x14ac:dyDescent="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1"/>
      <c r="AC2" s="2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136" ht="14.25" customHeight="1" thickBot="1" x14ac:dyDescent="0.25">
      <c r="A3" s="1"/>
      <c r="B3" s="194" t="s">
        <v>0</v>
      </c>
      <c r="C3" s="194" t="s">
        <v>1</v>
      </c>
      <c r="D3" s="194" t="s">
        <v>2</v>
      </c>
      <c r="E3" s="4"/>
      <c r="F3" s="125" t="s">
        <v>3</v>
      </c>
      <c r="G3" s="126"/>
      <c r="H3" s="126"/>
      <c r="I3" s="126"/>
      <c r="J3" s="126"/>
      <c r="K3" s="126"/>
      <c r="L3" s="126"/>
      <c r="M3" s="127"/>
      <c r="N3" s="5"/>
      <c r="O3" s="188" t="s">
        <v>4</v>
      </c>
      <c r="P3" s="189"/>
      <c r="Q3" s="189"/>
      <c r="R3" s="189"/>
      <c r="S3" s="189"/>
      <c r="T3" s="189"/>
      <c r="U3" s="189"/>
      <c r="V3" s="189"/>
      <c r="W3" s="200"/>
      <c r="X3" s="190"/>
      <c r="Y3" s="5"/>
      <c r="Z3" s="207" t="s">
        <v>5</v>
      </c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9"/>
      <c r="AN3" s="6"/>
      <c r="AO3" s="181" t="s">
        <v>6</v>
      </c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210"/>
      <c r="BD3" s="183"/>
      <c r="BE3" s="6"/>
      <c r="BF3" s="168" t="s">
        <v>7</v>
      </c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206"/>
      <c r="BZ3" s="170"/>
      <c r="CA3" s="6"/>
      <c r="CB3" s="125" t="s">
        <v>8</v>
      </c>
      <c r="CC3" s="126"/>
      <c r="CD3" s="126"/>
      <c r="CE3" s="126"/>
      <c r="CF3" s="126"/>
      <c r="CG3" s="127"/>
      <c r="CH3" s="6"/>
      <c r="CI3" s="148" t="s">
        <v>9</v>
      </c>
      <c r="CJ3" s="149"/>
      <c r="CK3" s="149"/>
      <c r="CL3" s="149"/>
      <c r="CM3" s="149"/>
      <c r="CN3" s="149"/>
      <c r="CO3" s="149"/>
      <c r="CP3" s="149"/>
      <c r="CQ3" s="149"/>
      <c r="CR3" s="150"/>
      <c r="CS3" s="151"/>
      <c r="CT3" s="6"/>
      <c r="CU3" s="148" t="s">
        <v>126</v>
      </c>
      <c r="CV3" s="149"/>
      <c r="CW3" s="149"/>
      <c r="CX3" s="149"/>
      <c r="CY3" s="149"/>
      <c r="CZ3" s="149"/>
      <c r="DA3" s="149"/>
      <c r="DB3" s="149"/>
      <c r="DC3" s="149"/>
      <c r="DD3" s="150"/>
      <c r="DE3" s="151"/>
      <c r="DF3" s="6"/>
      <c r="DG3" s="148" t="s">
        <v>178</v>
      </c>
      <c r="DH3" s="149"/>
      <c r="DI3" s="149"/>
      <c r="DJ3" s="149"/>
      <c r="DK3" s="149"/>
      <c r="DL3" s="149"/>
      <c r="DM3" s="149"/>
      <c r="DN3" s="149"/>
      <c r="DO3" s="149"/>
      <c r="DP3" s="149"/>
      <c r="DQ3" s="149"/>
      <c r="DR3" s="149"/>
      <c r="DS3" s="150"/>
      <c r="DT3" s="150"/>
      <c r="DU3" s="150"/>
      <c r="DV3" s="150"/>
      <c r="DW3" s="150"/>
      <c r="DX3" s="150"/>
      <c r="DY3" s="151"/>
      <c r="DZ3" s="6"/>
      <c r="EA3" s="125" t="s">
        <v>202</v>
      </c>
      <c r="EB3" s="126"/>
      <c r="EC3" s="126"/>
      <c r="ED3" s="126"/>
      <c r="EE3" s="126"/>
      <c r="EF3" s="127"/>
    </row>
    <row r="4" spans="1:136" ht="34.5" customHeight="1" x14ac:dyDescent="0.2">
      <c r="A4" s="1"/>
      <c r="B4" s="194"/>
      <c r="C4" s="194"/>
      <c r="D4" s="194"/>
      <c r="E4" s="7"/>
      <c r="F4" s="128" t="s">
        <v>10</v>
      </c>
      <c r="G4" s="153" t="s">
        <v>169</v>
      </c>
      <c r="H4" s="195"/>
      <c r="I4" s="195"/>
      <c r="J4" s="195"/>
      <c r="K4" s="195"/>
      <c r="L4" s="195"/>
      <c r="M4" s="196"/>
      <c r="N4" s="6"/>
      <c r="O4" s="128" t="s">
        <v>10</v>
      </c>
      <c r="P4" s="197" t="s">
        <v>11</v>
      </c>
      <c r="Q4" s="197"/>
      <c r="R4" s="197"/>
      <c r="S4" s="197"/>
      <c r="T4" s="197"/>
      <c r="U4" s="197"/>
      <c r="V4" s="197"/>
      <c r="W4" s="198"/>
      <c r="X4" s="199"/>
      <c r="Y4" s="6"/>
      <c r="Z4" s="128" t="s">
        <v>10</v>
      </c>
      <c r="AA4" s="204" t="s">
        <v>12</v>
      </c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6"/>
      <c r="AO4" s="128" t="s">
        <v>10</v>
      </c>
      <c r="AP4" s="211" t="s">
        <v>13</v>
      </c>
      <c r="AQ4" s="211"/>
      <c r="AR4" s="211"/>
      <c r="AS4" s="211"/>
      <c r="AT4" s="211"/>
      <c r="AU4" s="211"/>
      <c r="AV4" s="211"/>
      <c r="AW4" s="211"/>
      <c r="AX4" s="211"/>
      <c r="AY4" s="211"/>
      <c r="AZ4" s="211"/>
      <c r="BA4" s="211"/>
      <c r="BB4" s="211"/>
      <c r="BC4" s="212"/>
      <c r="BD4" s="213"/>
      <c r="BE4" s="6"/>
      <c r="BF4" s="128" t="s">
        <v>10</v>
      </c>
      <c r="BG4" s="218" t="s">
        <v>14</v>
      </c>
      <c r="BH4" s="219"/>
      <c r="BI4" s="219"/>
      <c r="BJ4" s="219"/>
      <c r="BK4" s="219"/>
      <c r="BL4" s="219"/>
      <c r="BM4" s="219"/>
      <c r="BN4" s="219"/>
      <c r="BO4" s="219"/>
      <c r="BP4" s="219"/>
      <c r="BQ4" s="219"/>
      <c r="BR4" s="219"/>
      <c r="BS4" s="219"/>
      <c r="BT4" s="219"/>
      <c r="BU4" s="219"/>
      <c r="BV4" s="219"/>
      <c r="BW4" s="219"/>
      <c r="BX4" s="219"/>
      <c r="BY4" s="219"/>
      <c r="BZ4" s="220"/>
      <c r="CA4" s="6"/>
      <c r="CB4" s="128" t="s">
        <v>10</v>
      </c>
      <c r="CC4" s="131" t="s">
        <v>15</v>
      </c>
      <c r="CD4" s="132"/>
      <c r="CE4" s="132"/>
      <c r="CF4" s="132"/>
      <c r="CG4" s="133"/>
      <c r="CH4" s="6"/>
      <c r="CI4" s="128" t="s">
        <v>10</v>
      </c>
      <c r="CJ4" s="152" t="s">
        <v>16</v>
      </c>
      <c r="CK4" s="152"/>
      <c r="CL4" s="152"/>
      <c r="CM4" s="152"/>
      <c r="CN4" s="152"/>
      <c r="CO4" s="152"/>
      <c r="CP4" s="152"/>
      <c r="CQ4" s="152"/>
      <c r="CR4" s="153"/>
      <c r="CS4" s="154"/>
      <c r="CT4" s="6"/>
      <c r="CU4" s="128" t="s">
        <v>10</v>
      </c>
      <c r="CV4" s="152" t="s">
        <v>127</v>
      </c>
      <c r="CW4" s="152"/>
      <c r="CX4" s="152"/>
      <c r="CY4" s="152"/>
      <c r="CZ4" s="152"/>
      <c r="DA4" s="152"/>
      <c r="DB4" s="152"/>
      <c r="DC4" s="152"/>
      <c r="DD4" s="153"/>
      <c r="DE4" s="154"/>
      <c r="DF4" s="6"/>
      <c r="DG4" s="128" t="s">
        <v>10</v>
      </c>
      <c r="DH4" s="152" t="s">
        <v>179</v>
      </c>
      <c r="DI4" s="152"/>
      <c r="DJ4" s="152"/>
      <c r="DK4" s="152"/>
      <c r="DL4" s="152"/>
      <c r="DM4" s="152"/>
      <c r="DN4" s="152"/>
      <c r="DO4" s="152"/>
      <c r="DP4" s="152"/>
      <c r="DQ4" s="152"/>
      <c r="DR4" s="152"/>
      <c r="DS4" s="153"/>
      <c r="DT4" s="153"/>
      <c r="DU4" s="153"/>
      <c r="DV4" s="153"/>
      <c r="DW4" s="153"/>
      <c r="DX4" s="153"/>
      <c r="DY4" s="154"/>
      <c r="DZ4" s="6"/>
      <c r="EA4" s="128" t="s">
        <v>10</v>
      </c>
      <c r="EB4" s="131" t="s">
        <v>203</v>
      </c>
      <c r="EC4" s="132"/>
      <c r="ED4" s="132"/>
      <c r="EE4" s="132"/>
      <c r="EF4" s="133"/>
    </row>
    <row r="5" spans="1:136" ht="34.5" customHeight="1" thickBot="1" x14ac:dyDescent="0.25">
      <c r="A5" s="1"/>
      <c r="B5" s="194"/>
      <c r="C5" s="194"/>
      <c r="D5" s="194"/>
      <c r="E5" s="7"/>
      <c r="F5" s="129"/>
      <c r="G5" s="153" t="s">
        <v>170</v>
      </c>
      <c r="H5" s="195"/>
      <c r="I5" s="195"/>
      <c r="J5" s="195"/>
      <c r="K5" s="195"/>
      <c r="L5" s="195"/>
      <c r="M5" s="196"/>
      <c r="N5" s="6"/>
      <c r="O5" s="129"/>
      <c r="P5" s="197" t="s">
        <v>17</v>
      </c>
      <c r="Q5" s="197"/>
      <c r="R5" s="197"/>
      <c r="S5" s="197"/>
      <c r="T5" s="197"/>
      <c r="U5" s="197"/>
      <c r="V5" s="197"/>
      <c r="W5" s="198"/>
      <c r="X5" s="199"/>
      <c r="Y5" s="6"/>
      <c r="Z5" s="129"/>
      <c r="AA5" s="204" t="s">
        <v>18</v>
      </c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6"/>
      <c r="AO5" s="129"/>
      <c r="AP5" s="211" t="s">
        <v>19</v>
      </c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2"/>
      <c r="BD5" s="213"/>
      <c r="BE5" s="6"/>
      <c r="BF5" s="129"/>
      <c r="BG5" s="221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3"/>
      <c r="CA5" s="6"/>
      <c r="CB5" s="129"/>
      <c r="CC5" s="134"/>
      <c r="CD5" s="135"/>
      <c r="CE5" s="135"/>
      <c r="CF5" s="135"/>
      <c r="CG5" s="136"/>
      <c r="CH5" s="6"/>
      <c r="CI5" s="129"/>
      <c r="CJ5" s="152" t="s">
        <v>20</v>
      </c>
      <c r="CK5" s="152"/>
      <c r="CL5" s="152"/>
      <c r="CM5" s="152"/>
      <c r="CN5" s="152"/>
      <c r="CO5" s="152"/>
      <c r="CP5" s="152"/>
      <c r="CQ5" s="152"/>
      <c r="CR5" s="153"/>
      <c r="CS5" s="154"/>
      <c r="CT5" s="6"/>
      <c r="CU5" s="129"/>
      <c r="CV5" s="152" t="s">
        <v>128</v>
      </c>
      <c r="CW5" s="152"/>
      <c r="CX5" s="152"/>
      <c r="CY5" s="152"/>
      <c r="CZ5" s="152"/>
      <c r="DA5" s="152"/>
      <c r="DB5" s="152"/>
      <c r="DC5" s="152"/>
      <c r="DD5" s="153"/>
      <c r="DE5" s="154"/>
      <c r="DF5" s="6"/>
      <c r="DG5" s="129"/>
      <c r="DH5" s="155" t="s">
        <v>180</v>
      </c>
      <c r="DI5" s="106" t="s">
        <v>181</v>
      </c>
      <c r="DJ5" s="9" t="s">
        <v>44</v>
      </c>
      <c r="DK5" s="85"/>
      <c r="DL5" s="158" t="s">
        <v>182</v>
      </c>
      <c r="DM5" s="9" t="s">
        <v>183</v>
      </c>
      <c r="DN5" s="9" t="s">
        <v>184</v>
      </c>
      <c r="DO5" s="9"/>
      <c r="DP5" s="9"/>
      <c r="DQ5" s="9"/>
      <c r="DR5" s="85"/>
      <c r="DS5" s="86"/>
      <c r="DT5" s="86"/>
      <c r="DU5" s="86"/>
      <c r="DV5" s="86"/>
      <c r="DW5" s="86"/>
      <c r="DX5" s="86"/>
      <c r="DY5" s="87"/>
      <c r="DZ5" s="6"/>
      <c r="EA5" s="129"/>
      <c r="EB5" s="134"/>
      <c r="EC5" s="135"/>
      <c r="ED5" s="135"/>
      <c r="EE5" s="135"/>
      <c r="EF5" s="136"/>
    </row>
    <row r="6" spans="1:136" ht="34.5" customHeight="1" thickBot="1" x14ac:dyDescent="0.25">
      <c r="A6" s="1"/>
      <c r="B6" s="194"/>
      <c r="C6" s="194"/>
      <c r="D6" s="194"/>
      <c r="E6" s="7"/>
      <c r="F6" s="129"/>
      <c r="G6" s="164" t="s">
        <v>171</v>
      </c>
      <c r="H6" s="166" t="s">
        <v>172</v>
      </c>
      <c r="I6" s="167"/>
      <c r="J6" s="100"/>
      <c r="K6" s="100"/>
      <c r="L6" s="100"/>
      <c r="M6" s="101"/>
      <c r="N6" s="6"/>
      <c r="O6" s="129"/>
      <c r="P6" s="197" t="s">
        <v>21</v>
      </c>
      <c r="Q6" s="197"/>
      <c r="R6" s="197"/>
      <c r="S6" s="197"/>
      <c r="T6" s="197"/>
      <c r="U6" s="197"/>
      <c r="V6" s="197"/>
      <c r="W6" s="198"/>
      <c r="X6" s="199"/>
      <c r="Y6" s="6"/>
      <c r="Z6" s="129"/>
      <c r="AA6" s="204" t="s">
        <v>22</v>
      </c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6"/>
      <c r="AO6" s="129"/>
      <c r="AP6" s="211" t="s">
        <v>23</v>
      </c>
      <c r="AQ6" s="211"/>
      <c r="AR6" s="211"/>
      <c r="AS6" s="211"/>
      <c r="AT6" s="211"/>
      <c r="AU6" s="211"/>
      <c r="AV6" s="211"/>
      <c r="AW6" s="211"/>
      <c r="AX6" s="211"/>
      <c r="AY6" s="211"/>
      <c r="AZ6" s="211"/>
      <c r="BA6" s="211"/>
      <c r="BB6" s="211"/>
      <c r="BC6" s="212"/>
      <c r="BD6" s="213"/>
      <c r="BE6" s="6"/>
      <c r="BF6" s="129"/>
      <c r="BG6" s="215" t="s">
        <v>24</v>
      </c>
      <c r="BH6" s="216"/>
      <c r="BI6" s="216"/>
      <c r="BJ6" s="216"/>
      <c r="BK6" s="216"/>
      <c r="BL6" s="216"/>
      <c r="BM6" s="216"/>
      <c r="BN6" s="216"/>
      <c r="BO6" s="216"/>
      <c r="BP6" s="216"/>
      <c r="BQ6" s="216"/>
      <c r="BR6" s="216"/>
      <c r="BS6" s="216"/>
      <c r="BT6" s="216"/>
      <c r="BU6" s="216"/>
      <c r="BV6" s="216"/>
      <c r="BW6" s="216"/>
      <c r="BX6" s="216"/>
      <c r="BY6" s="216"/>
      <c r="BZ6" s="217"/>
      <c r="CA6" s="6"/>
      <c r="CB6" s="129"/>
      <c r="CC6" s="134"/>
      <c r="CD6" s="135"/>
      <c r="CE6" s="135"/>
      <c r="CF6" s="135"/>
      <c r="CG6" s="136"/>
      <c r="CH6" s="6"/>
      <c r="CI6" s="129"/>
      <c r="CJ6" s="152"/>
      <c r="CK6" s="152"/>
      <c r="CL6" s="152"/>
      <c r="CM6" s="152"/>
      <c r="CN6" s="152"/>
      <c r="CO6" s="152"/>
      <c r="CP6" s="152"/>
      <c r="CQ6" s="152"/>
      <c r="CR6" s="153"/>
      <c r="CS6" s="154"/>
      <c r="CT6" s="6"/>
      <c r="CU6" s="129"/>
      <c r="CV6" s="85" t="s">
        <v>129</v>
      </c>
      <c r="CW6" s="9" t="s">
        <v>130</v>
      </c>
      <c r="CX6" s="9" t="s">
        <v>131</v>
      </c>
      <c r="CY6" s="9" t="s">
        <v>132</v>
      </c>
      <c r="CZ6" s="9" t="s">
        <v>133</v>
      </c>
      <c r="DA6" s="85"/>
      <c r="DB6" s="85"/>
      <c r="DC6" s="85"/>
      <c r="DD6" s="86"/>
      <c r="DE6" s="87"/>
      <c r="DF6" s="6"/>
      <c r="DG6" s="129"/>
      <c r="DH6" s="156"/>
      <c r="DI6" s="9" t="s">
        <v>185</v>
      </c>
      <c r="DJ6" s="107" t="s">
        <v>186</v>
      </c>
      <c r="DK6" s="9"/>
      <c r="DL6" s="159"/>
      <c r="DM6" s="9" t="s">
        <v>185</v>
      </c>
      <c r="DN6" s="107" t="s">
        <v>187</v>
      </c>
      <c r="DO6" s="107"/>
      <c r="DP6" s="107"/>
      <c r="DQ6" s="107"/>
      <c r="DR6" s="85"/>
      <c r="DS6" s="86"/>
      <c r="DT6" s="86"/>
      <c r="DU6" s="86"/>
      <c r="DV6" s="86"/>
      <c r="DW6" s="86"/>
      <c r="DX6" s="86"/>
      <c r="DY6" s="87"/>
      <c r="DZ6" s="6"/>
      <c r="EA6" s="129"/>
      <c r="EB6" s="134"/>
      <c r="EC6" s="135"/>
      <c r="ED6" s="135"/>
      <c r="EE6" s="135"/>
      <c r="EF6" s="136"/>
    </row>
    <row r="7" spans="1:136" ht="34.5" customHeight="1" thickBot="1" x14ac:dyDescent="0.25">
      <c r="A7" s="1"/>
      <c r="B7" s="194"/>
      <c r="C7" s="194"/>
      <c r="D7" s="194"/>
      <c r="E7" s="7"/>
      <c r="F7" s="129"/>
      <c r="G7" s="165"/>
      <c r="H7" s="103" t="s">
        <v>173</v>
      </c>
      <c r="I7" s="103" t="s">
        <v>174</v>
      </c>
      <c r="J7" s="100"/>
      <c r="K7" s="100"/>
      <c r="L7" s="100"/>
      <c r="M7" s="101"/>
      <c r="N7" s="6"/>
      <c r="O7" s="129"/>
      <c r="P7" s="201" t="s">
        <v>19</v>
      </c>
      <c r="Q7" s="201"/>
      <c r="R7" s="201"/>
      <c r="S7" s="201"/>
      <c r="T7" s="201"/>
      <c r="U7" s="201"/>
      <c r="V7" s="201"/>
      <c r="W7" s="202"/>
      <c r="X7" s="203"/>
      <c r="Y7" s="6"/>
      <c r="Z7" s="129"/>
      <c r="AA7" s="204" t="s">
        <v>25</v>
      </c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6"/>
      <c r="AO7" s="129"/>
      <c r="AP7" s="211" t="s">
        <v>26</v>
      </c>
      <c r="AQ7" s="211"/>
      <c r="AR7" s="211"/>
      <c r="AS7" s="211"/>
      <c r="AT7" s="211"/>
      <c r="AU7" s="211"/>
      <c r="AV7" s="211"/>
      <c r="AW7" s="211"/>
      <c r="AX7" s="211"/>
      <c r="AY7" s="211"/>
      <c r="AZ7" s="211"/>
      <c r="BA7" s="211"/>
      <c r="BB7" s="211"/>
      <c r="BC7" s="212"/>
      <c r="BD7" s="213"/>
      <c r="BE7" s="6"/>
      <c r="BF7" s="129"/>
      <c r="BG7" s="218"/>
      <c r="BH7" s="219"/>
      <c r="BI7" s="219"/>
      <c r="BJ7" s="219"/>
      <c r="BK7" s="219"/>
      <c r="BL7" s="219"/>
      <c r="BM7" s="219"/>
      <c r="BN7" s="219"/>
      <c r="BO7" s="219"/>
      <c r="BP7" s="219"/>
      <c r="BQ7" s="219"/>
      <c r="BR7" s="219"/>
      <c r="BS7" s="219"/>
      <c r="BT7" s="219"/>
      <c r="BU7" s="219"/>
      <c r="BV7" s="219"/>
      <c r="BW7" s="219"/>
      <c r="BX7" s="219"/>
      <c r="BY7" s="219"/>
      <c r="BZ7" s="220"/>
      <c r="CA7" s="6"/>
      <c r="CB7" s="129"/>
      <c r="CC7" s="137"/>
      <c r="CD7" s="138"/>
      <c r="CE7" s="138"/>
      <c r="CF7" s="138"/>
      <c r="CG7" s="139"/>
      <c r="CH7" s="6"/>
      <c r="CI7" s="129"/>
      <c r="CJ7" s="152"/>
      <c r="CK7" s="152"/>
      <c r="CL7" s="152"/>
      <c r="CM7" s="152"/>
      <c r="CN7" s="152"/>
      <c r="CO7" s="152"/>
      <c r="CP7" s="152"/>
      <c r="CQ7" s="152"/>
      <c r="CR7" s="153"/>
      <c r="CS7" s="154"/>
      <c r="CT7" s="6"/>
      <c r="CU7" s="129"/>
      <c r="CV7" s="85"/>
      <c r="CW7" s="9" t="s">
        <v>134</v>
      </c>
      <c r="CX7" s="9" t="s">
        <v>135</v>
      </c>
      <c r="CY7" s="9" t="s">
        <v>136</v>
      </c>
      <c r="CZ7" s="9" t="s">
        <v>137</v>
      </c>
      <c r="DA7" s="85"/>
      <c r="DB7" s="85"/>
      <c r="DC7" s="85"/>
      <c r="DD7" s="86"/>
      <c r="DE7" s="87"/>
      <c r="DF7" s="6"/>
      <c r="DG7" s="129"/>
      <c r="DH7" s="156"/>
      <c r="DI7" s="9" t="s">
        <v>188</v>
      </c>
      <c r="DJ7" s="9" t="s">
        <v>189</v>
      </c>
      <c r="DK7" s="9"/>
      <c r="DL7" s="159"/>
      <c r="DM7" s="9" t="s">
        <v>188</v>
      </c>
      <c r="DN7" s="9" t="s">
        <v>186</v>
      </c>
      <c r="DO7" s="9"/>
      <c r="DP7" s="9"/>
      <c r="DQ7" s="9"/>
      <c r="DR7" s="85"/>
      <c r="DS7" s="86"/>
      <c r="DT7" s="86"/>
      <c r="DU7" s="86"/>
      <c r="DV7" s="86"/>
      <c r="DW7" s="86"/>
      <c r="DX7" s="86"/>
      <c r="DY7" s="87"/>
      <c r="DZ7" s="6"/>
      <c r="EA7" s="129"/>
      <c r="EB7" s="137"/>
      <c r="EC7" s="138"/>
      <c r="ED7" s="138"/>
      <c r="EE7" s="138"/>
      <c r="EF7" s="139"/>
    </row>
    <row r="8" spans="1:136" ht="34.5" customHeight="1" thickBot="1" x14ac:dyDescent="0.25">
      <c r="A8" s="1"/>
      <c r="B8" s="194"/>
      <c r="C8" s="194"/>
      <c r="D8" s="194"/>
      <c r="E8" s="7"/>
      <c r="F8" s="129"/>
      <c r="G8" s="102" t="s">
        <v>175</v>
      </c>
      <c r="H8" s="104">
        <v>750</v>
      </c>
      <c r="I8" s="105">
        <v>2000</v>
      </c>
      <c r="J8" s="115"/>
      <c r="K8" s="115"/>
      <c r="L8" s="115"/>
      <c r="M8" s="116"/>
      <c r="N8" s="6"/>
      <c r="O8" s="129"/>
      <c r="P8" s="88"/>
      <c r="Q8" s="88"/>
      <c r="R8" s="89"/>
      <c r="S8" s="90"/>
      <c r="T8" s="88"/>
      <c r="U8" s="89"/>
      <c r="V8" s="90"/>
      <c r="W8" s="89"/>
      <c r="X8" s="91"/>
      <c r="Y8" s="6"/>
      <c r="Z8" s="129"/>
      <c r="AA8" s="204" t="s">
        <v>138</v>
      </c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6"/>
      <c r="AO8" s="129"/>
      <c r="AP8" s="92"/>
      <c r="AQ8" s="92"/>
      <c r="AR8" s="92"/>
      <c r="AS8" s="92"/>
      <c r="AT8" s="92"/>
      <c r="AU8" s="92"/>
      <c r="AV8" s="92"/>
      <c r="AW8" s="92"/>
      <c r="AX8" s="92"/>
      <c r="AY8" s="93"/>
      <c r="AZ8" s="94"/>
      <c r="BA8" s="95"/>
      <c r="BB8" s="92"/>
      <c r="BC8" s="92"/>
      <c r="BD8" s="96"/>
      <c r="BE8" s="6"/>
      <c r="BF8" s="129"/>
      <c r="BG8" s="111"/>
      <c r="BH8" s="111"/>
      <c r="BI8" s="111"/>
      <c r="BJ8" s="111"/>
      <c r="BK8" s="111"/>
      <c r="BL8" s="111"/>
      <c r="BM8" s="111"/>
      <c r="BN8" s="111"/>
      <c r="BO8" s="111"/>
      <c r="BP8" s="111"/>
      <c r="BQ8" s="111"/>
      <c r="BR8" s="111"/>
      <c r="BS8" s="111"/>
      <c r="BT8" s="111"/>
      <c r="BU8" s="111"/>
      <c r="BV8" s="111"/>
      <c r="BW8" s="111"/>
      <c r="BX8" s="111"/>
      <c r="BY8" s="111"/>
      <c r="BZ8" s="97"/>
      <c r="CA8" s="6"/>
      <c r="CB8" s="129"/>
      <c r="CC8" s="117"/>
      <c r="CD8" s="118"/>
      <c r="CE8" s="118"/>
      <c r="CF8" s="118"/>
      <c r="CG8" s="119"/>
      <c r="CH8" s="6"/>
      <c r="CI8" s="129"/>
      <c r="CJ8" s="120"/>
      <c r="CK8" s="98"/>
      <c r="CL8" s="113"/>
      <c r="CM8" s="120"/>
      <c r="CN8" s="98"/>
      <c r="CO8" s="113"/>
      <c r="CP8" s="98"/>
      <c r="CQ8" s="112"/>
      <c r="CR8" s="113"/>
      <c r="CS8" s="116"/>
      <c r="CT8" s="6"/>
      <c r="CU8" s="129"/>
      <c r="CV8" s="85"/>
      <c r="CW8" s="9" t="s">
        <v>139</v>
      </c>
      <c r="CX8" s="99">
        <v>10000</v>
      </c>
      <c r="CY8" s="99">
        <v>15000</v>
      </c>
      <c r="CZ8" s="99">
        <v>20000</v>
      </c>
      <c r="DA8" s="85"/>
      <c r="DB8" s="85"/>
      <c r="DC8" s="85"/>
      <c r="DD8" s="86"/>
      <c r="DE8" s="87"/>
      <c r="DF8" s="6"/>
      <c r="DG8" s="129"/>
      <c r="DH8" s="156"/>
      <c r="DI8" s="9" t="s">
        <v>190</v>
      </c>
      <c r="DJ8" s="99" t="s">
        <v>191</v>
      </c>
      <c r="DK8" s="99"/>
      <c r="DL8" s="159"/>
      <c r="DM8" s="9" t="s">
        <v>190</v>
      </c>
      <c r="DN8" s="99" t="s">
        <v>192</v>
      </c>
      <c r="DO8" s="99"/>
      <c r="DP8" s="99"/>
      <c r="DQ8" s="99"/>
      <c r="DR8" s="85"/>
      <c r="DS8" s="86"/>
      <c r="DT8" s="86"/>
      <c r="DU8" s="86"/>
      <c r="DV8" s="86"/>
      <c r="DW8" s="86"/>
      <c r="DX8" s="86"/>
      <c r="DY8" s="87"/>
      <c r="DZ8" s="6"/>
      <c r="EA8" s="129"/>
      <c r="EB8" s="117"/>
      <c r="EC8" s="118"/>
      <c r="ED8" s="118"/>
      <c r="EE8" s="118"/>
      <c r="EF8" s="119"/>
    </row>
    <row r="9" spans="1:136" ht="15.75" thickBot="1" x14ac:dyDescent="0.25">
      <c r="A9" s="1"/>
      <c r="B9" s="194"/>
      <c r="C9" s="194"/>
      <c r="D9" s="194"/>
      <c r="E9" s="7"/>
      <c r="F9" s="130"/>
      <c r="G9" s="114"/>
      <c r="H9" s="115"/>
      <c r="I9" s="115"/>
      <c r="J9" s="115"/>
      <c r="K9" s="115"/>
      <c r="L9" s="115"/>
      <c r="M9" s="116"/>
      <c r="N9" s="6"/>
      <c r="O9" s="130"/>
      <c r="P9" s="88"/>
      <c r="Q9" s="88"/>
      <c r="R9" s="89"/>
      <c r="S9" s="90"/>
      <c r="T9" s="88"/>
      <c r="U9" s="89"/>
      <c r="V9" s="90"/>
      <c r="W9" s="89"/>
      <c r="X9" s="91"/>
      <c r="Y9" s="6"/>
      <c r="Z9" s="130"/>
      <c r="AA9" s="110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6"/>
      <c r="AO9" s="130"/>
      <c r="AP9" s="92"/>
      <c r="AQ9" s="92"/>
      <c r="AR9" s="92"/>
      <c r="AS9" s="92"/>
      <c r="AT9" s="92"/>
      <c r="AU9" s="92"/>
      <c r="AV9" s="92"/>
      <c r="AW9" s="92"/>
      <c r="AX9" s="92"/>
      <c r="AY9" s="93"/>
      <c r="AZ9" s="94"/>
      <c r="BA9" s="95"/>
      <c r="BB9" s="92"/>
      <c r="BC9" s="92"/>
      <c r="BD9" s="96"/>
      <c r="BE9" s="6"/>
      <c r="BF9" s="130"/>
      <c r="BG9" s="111"/>
      <c r="BH9" s="111"/>
      <c r="BI9" s="111"/>
      <c r="BJ9" s="111"/>
      <c r="BK9" s="111"/>
      <c r="BL9" s="111"/>
      <c r="BM9" s="111"/>
      <c r="BN9" s="111"/>
      <c r="BO9" s="111"/>
      <c r="BP9" s="111"/>
      <c r="BQ9" s="111"/>
      <c r="BR9" s="111"/>
      <c r="BS9" s="111"/>
      <c r="BT9" s="111"/>
      <c r="BU9" s="111"/>
      <c r="BV9" s="111"/>
      <c r="BW9" s="111"/>
      <c r="BX9" s="111"/>
      <c r="BY9" s="111"/>
      <c r="BZ9" s="97"/>
      <c r="CA9" s="6"/>
      <c r="CB9" s="130"/>
      <c r="CC9" s="117"/>
      <c r="CD9" s="118"/>
      <c r="CE9" s="118"/>
      <c r="CF9" s="118"/>
      <c r="CG9" s="119"/>
      <c r="CH9" s="6"/>
      <c r="CI9" s="130"/>
      <c r="CJ9" s="120"/>
      <c r="CK9" s="98"/>
      <c r="CL9" s="113"/>
      <c r="CM9" s="120"/>
      <c r="CN9" s="98"/>
      <c r="CO9" s="113"/>
      <c r="CP9" s="98"/>
      <c r="CQ9" s="112"/>
      <c r="CR9" s="113"/>
      <c r="CS9" s="116"/>
      <c r="CT9" s="6"/>
      <c r="CU9" s="130"/>
      <c r="CV9" s="120"/>
      <c r="CW9" s="98"/>
      <c r="CX9" s="113"/>
      <c r="CY9" s="120"/>
      <c r="CZ9" s="98"/>
      <c r="DA9" s="113"/>
      <c r="DB9" s="98"/>
      <c r="DC9" s="112"/>
      <c r="DD9" s="113"/>
      <c r="DE9" s="116"/>
      <c r="DF9" s="6"/>
      <c r="DG9" s="130"/>
      <c r="DH9" s="157"/>
      <c r="DI9" s="123" t="s">
        <v>193</v>
      </c>
      <c r="DJ9" s="124" t="s">
        <v>194</v>
      </c>
      <c r="DK9" s="120"/>
      <c r="DL9" s="160"/>
      <c r="DM9" s="123" t="s">
        <v>193</v>
      </c>
      <c r="DN9" s="124" t="s">
        <v>195</v>
      </c>
      <c r="DO9" s="124"/>
      <c r="DP9" s="124"/>
      <c r="DQ9" s="124"/>
      <c r="DR9" s="112"/>
      <c r="DS9" s="113"/>
      <c r="DT9" s="115"/>
      <c r="DU9" s="115"/>
      <c r="DV9" s="115"/>
      <c r="DW9" s="115"/>
      <c r="DX9" s="115"/>
      <c r="DY9" s="116"/>
      <c r="DZ9" s="6"/>
      <c r="EA9" s="130"/>
      <c r="EB9" s="117"/>
      <c r="EC9" s="118"/>
      <c r="ED9" s="118"/>
      <c r="EE9" s="118"/>
      <c r="EF9" s="119"/>
    </row>
    <row r="10" spans="1:136" ht="15" x14ac:dyDescent="0.2">
      <c r="A10" s="1"/>
      <c r="B10" s="194"/>
      <c r="C10" s="194"/>
      <c r="D10" s="194"/>
      <c r="E10" s="7"/>
      <c r="F10" s="128" t="s">
        <v>27</v>
      </c>
      <c r="G10" s="140" t="s">
        <v>28</v>
      </c>
      <c r="H10" s="140" t="s">
        <v>29</v>
      </c>
      <c r="I10" s="140" t="s">
        <v>124</v>
      </c>
      <c r="J10" s="140" t="s">
        <v>30</v>
      </c>
      <c r="K10" s="140" t="s">
        <v>31</v>
      </c>
      <c r="L10" s="142" t="s">
        <v>32</v>
      </c>
      <c r="M10" s="142" t="s">
        <v>33</v>
      </c>
      <c r="N10" s="6"/>
      <c r="O10" s="188" t="s">
        <v>34</v>
      </c>
      <c r="P10" s="189"/>
      <c r="Q10" s="189"/>
      <c r="R10" s="190"/>
      <c r="S10" s="188" t="s">
        <v>35</v>
      </c>
      <c r="T10" s="189"/>
      <c r="U10" s="190"/>
      <c r="V10" s="191" t="s">
        <v>36</v>
      </c>
      <c r="W10" s="184" t="s">
        <v>31</v>
      </c>
      <c r="X10" s="184" t="s">
        <v>33</v>
      </c>
      <c r="Y10" s="6"/>
      <c r="Z10" s="168" t="s">
        <v>37</v>
      </c>
      <c r="AA10" s="170" t="s">
        <v>140</v>
      </c>
      <c r="AB10" s="168" t="s">
        <v>38</v>
      </c>
      <c r="AC10" s="169"/>
      <c r="AD10" s="170"/>
      <c r="AE10" s="168" t="s">
        <v>39</v>
      </c>
      <c r="AF10" s="169"/>
      <c r="AG10" s="170"/>
      <c r="AH10" s="168" t="s">
        <v>40</v>
      </c>
      <c r="AI10" s="169"/>
      <c r="AJ10" s="170"/>
      <c r="AK10" s="168" t="s">
        <v>141</v>
      </c>
      <c r="AL10" s="169"/>
      <c r="AM10" s="170"/>
      <c r="AN10" s="6"/>
      <c r="AO10" s="173" t="s">
        <v>41</v>
      </c>
      <c r="AP10" s="179"/>
      <c r="AQ10" s="179"/>
      <c r="AR10" s="179"/>
      <c r="AS10" s="179"/>
      <c r="AT10" s="180"/>
      <c r="AU10" s="173" t="s">
        <v>42</v>
      </c>
      <c r="AV10" s="179"/>
      <c r="AW10" s="179"/>
      <c r="AX10" s="180"/>
      <c r="AY10" s="181" t="s">
        <v>43</v>
      </c>
      <c r="AZ10" s="182"/>
      <c r="BA10" s="183"/>
      <c r="BB10" s="173" t="s">
        <v>44</v>
      </c>
      <c r="BC10" s="174"/>
      <c r="BD10" s="175" t="s">
        <v>33</v>
      </c>
      <c r="BE10" s="6"/>
      <c r="BF10" s="177" t="s">
        <v>45</v>
      </c>
      <c r="BG10" s="178"/>
      <c r="BH10" s="178"/>
      <c r="BI10" s="178"/>
      <c r="BJ10" s="178"/>
      <c r="BK10" s="178"/>
      <c r="BL10" s="168" t="s">
        <v>46</v>
      </c>
      <c r="BM10" s="169"/>
      <c r="BN10" s="170"/>
      <c r="BO10" s="168" t="s">
        <v>47</v>
      </c>
      <c r="BP10" s="169"/>
      <c r="BQ10" s="170"/>
      <c r="BR10" s="168" t="s">
        <v>48</v>
      </c>
      <c r="BS10" s="169"/>
      <c r="BT10" s="170"/>
      <c r="BU10" s="168" t="s">
        <v>49</v>
      </c>
      <c r="BV10" s="169"/>
      <c r="BW10" s="170"/>
      <c r="BX10" s="171" t="s">
        <v>50</v>
      </c>
      <c r="BY10" s="171" t="s">
        <v>36</v>
      </c>
      <c r="BZ10" s="171" t="s">
        <v>33</v>
      </c>
      <c r="CA10" s="6"/>
      <c r="CB10" s="128" t="s">
        <v>27</v>
      </c>
      <c r="CC10" s="140" t="s">
        <v>28</v>
      </c>
      <c r="CD10" s="140" t="s">
        <v>51</v>
      </c>
      <c r="CE10" s="140" t="s">
        <v>31</v>
      </c>
      <c r="CF10" s="142" t="s">
        <v>32</v>
      </c>
      <c r="CG10" s="142" t="s">
        <v>33</v>
      </c>
      <c r="CH10" s="6"/>
      <c r="CI10" s="161" t="s">
        <v>52</v>
      </c>
      <c r="CJ10" s="147"/>
      <c r="CK10" s="146"/>
      <c r="CL10" s="145" t="s">
        <v>53</v>
      </c>
      <c r="CM10" s="147"/>
      <c r="CN10" s="146"/>
      <c r="CO10" s="145" t="s">
        <v>54</v>
      </c>
      <c r="CP10" s="146"/>
      <c r="CQ10" s="140" t="s">
        <v>31</v>
      </c>
      <c r="CR10" s="142" t="s">
        <v>32</v>
      </c>
      <c r="CS10" s="162" t="s">
        <v>33</v>
      </c>
      <c r="CT10" s="6"/>
      <c r="CU10" s="161" t="s">
        <v>142</v>
      </c>
      <c r="CV10" s="147"/>
      <c r="CW10" s="146"/>
      <c r="CX10" s="145" t="s">
        <v>143</v>
      </c>
      <c r="CY10" s="147"/>
      <c r="CZ10" s="146"/>
      <c r="DA10" s="145" t="s">
        <v>144</v>
      </c>
      <c r="DB10" s="146"/>
      <c r="DC10" s="140" t="s">
        <v>31</v>
      </c>
      <c r="DD10" s="142" t="s">
        <v>32</v>
      </c>
      <c r="DE10" s="162" t="s">
        <v>33</v>
      </c>
      <c r="DF10" s="6"/>
      <c r="DG10" s="145" t="s">
        <v>196</v>
      </c>
      <c r="DH10" s="146"/>
      <c r="DI10" s="145" t="s">
        <v>197</v>
      </c>
      <c r="DJ10" s="147"/>
      <c r="DK10" s="147"/>
      <c r="DL10" s="146"/>
      <c r="DM10" s="85"/>
      <c r="DN10" s="145" t="s">
        <v>198</v>
      </c>
      <c r="DO10" s="146"/>
      <c r="DP10" s="145" t="s">
        <v>199</v>
      </c>
      <c r="DQ10" s="147"/>
      <c r="DR10" s="147"/>
      <c r="DS10" s="146"/>
      <c r="DT10" s="145" t="s">
        <v>200</v>
      </c>
      <c r="DU10" s="147"/>
      <c r="DV10" s="146"/>
      <c r="DW10" s="140" t="s">
        <v>31</v>
      </c>
      <c r="DX10" s="140" t="s">
        <v>36</v>
      </c>
      <c r="DY10" s="140" t="s">
        <v>33</v>
      </c>
      <c r="DZ10" s="6"/>
      <c r="EA10" s="128" t="s">
        <v>204</v>
      </c>
      <c r="EB10" s="140" t="s">
        <v>28</v>
      </c>
      <c r="EC10" s="140" t="s">
        <v>51</v>
      </c>
      <c r="ED10" s="140" t="s">
        <v>31</v>
      </c>
      <c r="EE10" s="142" t="s">
        <v>32</v>
      </c>
      <c r="EF10" s="142" t="s">
        <v>33</v>
      </c>
    </row>
    <row r="11" spans="1:136" ht="26.25" thickBot="1" x14ac:dyDescent="0.25">
      <c r="A11" s="1"/>
      <c r="B11" s="194"/>
      <c r="C11" s="194"/>
      <c r="D11" s="194"/>
      <c r="E11" s="10"/>
      <c r="F11" s="129"/>
      <c r="G11" s="141" t="s">
        <v>28</v>
      </c>
      <c r="H11" s="141"/>
      <c r="I11" s="141" t="s">
        <v>125</v>
      </c>
      <c r="J11" s="141" t="s">
        <v>55</v>
      </c>
      <c r="K11" s="141" t="s">
        <v>31</v>
      </c>
      <c r="L11" s="143" t="s">
        <v>55</v>
      </c>
      <c r="M11" s="143" t="s">
        <v>55</v>
      </c>
      <c r="N11" s="11"/>
      <c r="O11" s="8" t="s">
        <v>56</v>
      </c>
      <c r="P11" s="12" t="s">
        <v>57</v>
      </c>
      <c r="Q11" s="12" t="s">
        <v>58</v>
      </c>
      <c r="R11" s="13" t="s">
        <v>55</v>
      </c>
      <c r="S11" s="8" t="s">
        <v>59</v>
      </c>
      <c r="T11" s="12" t="s">
        <v>60</v>
      </c>
      <c r="U11" s="13" t="s">
        <v>61</v>
      </c>
      <c r="V11" s="192"/>
      <c r="W11" s="185" t="s">
        <v>31</v>
      </c>
      <c r="X11" s="185" t="s">
        <v>31</v>
      </c>
      <c r="Y11" s="11"/>
      <c r="Z11" s="186"/>
      <c r="AA11" s="187"/>
      <c r="AB11" s="121" t="s">
        <v>62</v>
      </c>
      <c r="AC11" s="14" t="s">
        <v>63</v>
      </c>
      <c r="AD11" s="122" t="s">
        <v>64</v>
      </c>
      <c r="AE11" s="121" t="s">
        <v>65</v>
      </c>
      <c r="AF11" s="14" t="s">
        <v>66</v>
      </c>
      <c r="AG11" s="122" t="s">
        <v>64</v>
      </c>
      <c r="AH11" s="121" t="s">
        <v>67</v>
      </c>
      <c r="AI11" s="14" t="s">
        <v>68</v>
      </c>
      <c r="AJ11" s="122" t="s">
        <v>61</v>
      </c>
      <c r="AK11" s="121" t="s">
        <v>145</v>
      </c>
      <c r="AL11" s="14" t="s">
        <v>68</v>
      </c>
      <c r="AM11" s="122" t="s">
        <v>61</v>
      </c>
      <c r="AN11" s="6"/>
      <c r="AO11" s="15" t="s">
        <v>69</v>
      </c>
      <c r="AP11" s="16" t="s">
        <v>58</v>
      </c>
      <c r="AQ11" s="16" t="s">
        <v>70</v>
      </c>
      <c r="AR11" s="16" t="s">
        <v>71</v>
      </c>
      <c r="AS11" s="16" t="s">
        <v>72</v>
      </c>
      <c r="AT11" s="17" t="s">
        <v>73</v>
      </c>
      <c r="AU11" s="15" t="s">
        <v>74</v>
      </c>
      <c r="AV11" s="16" t="s">
        <v>75</v>
      </c>
      <c r="AW11" s="16" t="s">
        <v>68</v>
      </c>
      <c r="AX11" s="17" t="s">
        <v>55</v>
      </c>
      <c r="AY11" s="15" t="s">
        <v>176</v>
      </c>
      <c r="AZ11" s="16" t="s">
        <v>68</v>
      </c>
      <c r="BA11" s="17" t="s">
        <v>51</v>
      </c>
      <c r="BB11" s="15" t="s">
        <v>31</v>
      </c>
      <c r="BC11" s="16" t="s">
        <v>36</v>
      </c>
      <c r="BD11" s="176"/>
      <c r="BE11" s="6"/>
      <c r="BF11" s="121" t="s">
        <v>27</v>
      </c>
      <c r="BG11" s="14" t="s">
        <v>76</v>
      </c>
      <c r="BH11" s="14" t="s">
        <v>51</v>
      </c>
      <c r="BI11" s="14" t="s">
        <v>77</v>
      </c>
      <c r="BJ11" s="18" t="s">
        <v>51</v>
      </c>
      <c r="BK11" s="18" t="s">
        <v>78</v>
      </c>
      <c r="BL11" s="121" t="s">
        <v>27</v>
      </c>
      <c r="BM11" s="14" t="s">
        <v>68</v>
      </c>
      <c r="BN11" s="122" t="s">
        <v>44</v>
      </c>
      <c r="BO11" s="121" t="s">
        <v>27</v>
      </c>
      <c r="BP11" s="14" t="s">
        <v>68</v>
      </c>
      <c r="BQ11" s="122" t="s">
        <v>44</v>
      </c>
      <c r="BR11" s="121" t="s">
        <v>27</v>
      </c>
      <c r="BS11" s="14" t="s">
        <v>68</v>
      </c>
      <c r="BT11" s="122" t="s">
        <v>44</v>
      </c>
      <c r="BU11" s="121" t="s">
        <v>27</v>
      </c>
      <c r="BV11" s="14" t="s">
        <v>68</v>
      </c>
      <c r="BW11" s="122" t="s">
        <v>44</v>
      </c>
      <c r="BX11" s="172"/>
      <c r="BY11" s="172"/>
      <c r="BZ11" s="172"/>
      <c r="CA11" s="6"/>
      <c r="CB11" s="129"/>
      <c r="CC11" s="141" t="s">
        <v>28</v>
      </c>
      <c r="CD11" s="141"/>
      <c r="CE11" s="141" t="s">
        <v>31</v>
      </c>
      <c r="CF11" s="143" t="s">
        <v>55</v>
      </c>
      <c r="CG11" s="143" t="s">
        <v>55</v>
      </c>
      <c r="CH11" s="6"/>
      <c r="CI11" s="19" t="s">
        <v>79</v>
      </c>
      <c r="CJ11" s="20" t="s">
        <v>28</v>
      </c>
      <c r="CK11" s="20" t="s">
        <v>51</v>
      </c>
      <c r="CL11" s="20" t="s">
        <v>27</v>
      </c>
      <c r="CM11" s="20" t="s">
        <v>68</v>
      </c>
      <c r="CN11" s="20" t="s">
        <v>68</v>
      </c>
      <c r="CO11" s="20" t="s">
        <v>80</v>
      </c>
      <c r="CP11" s="20" t="s">
        <v>81</v>
      </c>
      <c r="CQ11" s="214"/>
      <c r="CR11" s="193"/>
      <c r="CS11" s="163"/>
      <c r="CT11" s="6"/>
      <c r="CU11" s="19" t="s">
        <v>146</v>
      </c>
      <c r="CV11" s="20" t="s">
        <v>147</v>
      </c>
      <c r="CW11" s="20" t="s">
        <v>61</v>
      </c>
      <c r="CX11" s="19" t="s">
        <v>146</v>
      </c>
      <c r="CY11" s="20" t="s">
        <v>147</v>
      </c>
      <c r="CZ11" s="20" t="s">
        <v>61</v>
      </c>
      <c r="DA11" s="20" t="s">
        <v>148</v>
      </c>
      <c r="DB11" s="20" t="s">
        <v>78</v>
      </c>
      <c r="DC11" s="144"/>
      <c r="DD11" s="193"/>
      <c r="DE11" s="163"/>
      <c r="DF11" s="6"/>
      <c r="DG11" s="9" t="s">
        <v>146</v>
      </c>
      <c r="DH11" s="9" t="s">
        <v>68</v>
      </c>
      <c r="DI11" s="9" t="s">
        <v>185</v>
      </c>
      <c r="DJ11" s="9" t="s">
        <v>188</v>
      </c>
      <c r="DK11" s="9" t="s">
        <v>190</v>
      </c>
      <c r="DL11" s="123" t="s">
        <v>193</v>
      </c>
      <c r="DM11" s="9"/>
      <c r="DN11" s="9" t="s">
        <v>146</v>
      </c>
      <c r="DO11" s="9" t="s">
        <v>68</v>
      </c>
      <c r="DP11" s="9" t="s">
        <v>185</v>
      </c>
      <c r="DQ11" s="9" t="s">
        <v>188</v>
      </c>
      <c r="DR11" s="9" t="s">
        <v>190</v>
      </c>
      <c r="DS11" s="123" t="s">
        <v>193</v>
      </c>
      <c r="DT11" s="123" t="s">
        <v>146</v>
      </c>
      <c r="DU11" s="123" t="s">
        <v>68</v>
      </c>
      <c r="DV11" s="123" t="s">
        <v>64</v>
      </c>
      <c r="DW11" s="144"/>
      <c r="DX11" s="144"/>
      <c r="DY11" s="144"/>
      <c r="DZ11" s="6"/>
      <c r="EA11" s="129"/>
      <c r="EB11" s="141" t="s">
        <v>28</v>
      </c>
      <c r="EC11" s="141"/>
      <c r="ED11" s="141" t="s">
        <v>31</v>
      </c>
      <c r="EE11" s="143" t="s">
        <v>55</v>
      </c>
      <c r="EF11" s="143" t="s">
        <v>55</v>
      </c>
    </row>
    <row r="12" spans="1:136" ht="20.25" customHeight="1" thickBot="1" x14ac:dyDescent="0.25">
      <c r="A12" s="1"/>
      <c r="B12" s="21" t="s">
        <v>82</v>
      </c>
      <c r="C12" s="21" t="s">
        <v>83</v>
      </c>
      <c r="D12" s="21" t="s">
        <v>149</v>
      </c>
      <c r="E12" s="22"/>
      <c r="F12" s="23">
        <v>220</v>
      </c>
      <c r="G12" s="24">
        <v>79</v>
      </c>
      <c r="H12" s="24">
        <v>39</v>
      </c>
      <c r="I12" s="24">
        <v>118</v>
      </c>
      <c r="J12" s="24">
        <v>102</v>
      </c>
      <c r="K12" s="24">
        <v>158000</v>
      </c>
      <c r="L12" s="25">
        <v>440000</v>
      </c>
      <c r="M12" s="25" t="s">
        <v>84</v>
      </c>
      <c r="N12" s="26"/>
      <c r="O12" s="27">
        <v>537</v>
      </c>
      <c r="P12" s="28">
        <v>564</v>
      </c>
      <c r="Q12" s="28">
        <v>183</v>
      </c>
      <c r="R12" s="29">
        <v>381</v>
      </c>
      <c r="S12" s="27">
        <v>87</v>
      </c>
      <c r="T12" s="28">
        <v>54</v>
      </c>
      <c r="U12" s="30">
        <v>-0.37931034482758619</v>
      </c>
      <c r="V12" s="27">
        <v>1269000</v>
      </c>
      <c r="W12" s="29">
        <v>411750</v>
      </c>
      <c r="X12" s="29" t="s">
        <v>84</v>
      </c>
      <c r="Y12" s="26"/>
      <c r="Z12" s="31" t="s">
        <v>85</v>
      </c>
      <c r="AA12" s="32">
        <v>6</v>
      </c>
      <c r="AB12" s="31">
        <v>383</v>
      </c>
      <c r="AC12" s="33">
        <v>67</v>
      </c>
      <c r="AD12" s="34">
        <v>-0.82506527415143605</v>
      </c>
      <c r="AE12" s="31">
        <v>322</v>
      </c>
      <c r="AF12" s="33">
        <v>153</v>
      </c>
      <c r="AG12" s="34">
        <v>-0.52484472049689446</v>
      </c>
      <c r="AH12" s="31">
        <v>110</v>
      </c>
      <c r="AI12" s="33">
        <v>67</v>
      </c>
      <c r="AJ12" s="34">
        <v>-0.39090909090909087</v>
      </c>
      <c r="AK12" s="31">
        <v>146</v>
      </c>
      <c r="AL12" s="33">
        <v>98</v>
      </c>
      <c r="AM12" s="34">
        <v>-0.32876712328767121</v>
      </c>
      <c r="AN12" s="26"/>
      <c r="AO12" s="35">
        <v>422</v>
      </c>
      <c r="AP12" s="36">
        <v>116</v>
      </c>
      <c r="AQ12" s="36">
        <v>306</v>
      </c>
      <c r="AR12" s="36">
        <v>315</v>
      </c>
      <c r="AS12" s="36">
        <v>323</v>
      </c>
      <c r="AT12" s="37">
        <v>336</v>
      </c>
      <c r="AU12" s="35">
        <v>19</v>
      </c>
      <c r="AV12" s="36">
        <v>24</v>
      </c>
      <c r="AW12" s="36">
        <v>17</v>
      </c>
      <c r="AX12" s="37">
        <v>7</v>
      </c>
      <c r="AY12" s="35">
        <v>125</v>
      </c>
      <c r="AZ12" s="36">
        <v>132</v>
      </c>
      <c r="BA12" s="38">
        <v>1.056</v>
      </c>
      <c r="BB12" s="35">
        <v>297000</v>
      </c>
      <c r="BC12" s="37">
        <v>281250</v>
      </c>
      <c r="BD12" s="37" t="s">
        <v>86</v>
      </c>
      <c r="BE12" s="26"/>
      <c r="BF12" s="31">
        <v>170</v>
      </c>
      <c r="BG12" s="33">
        <v>139</v>
      </c>
      <c r="BH12" s="39">
        <v>0.81764705882352939</v>
      </c>
      <c r="BI12" s="33">
        <v>116</v>
      </c>
      <c r="BJ12" s="39">
        <v>0.68235294117647061</v>
      </c>
      <c r="BK12" s="33" t="s">
        <v>87</v>
      </c>
      <c r="BL12" s="31">
        <v>1</v>
      </c>
      <c r="BM12" s="33">
        <v>0</v>
      </c>
      <c r="BN12" s="32">
        <v>0</v>
      </c>
      <c r="BO12" s="31">
        <v>1</v>
      </c>
      <c r="BP12" s="33">
        <v>0</v>
      </c>
      <c r="BQ12" s="32">
        <v>0</v>
      </c>
      <c r="BR12" s="31">
        <v>14</v>
      </c>
      <c r="BS12" s="33">
        <v>15</v>
      </c>
      <c r="BT12" s="32">
        <v>112500</v>
      </c>
      <c r="BU12" s="31">
        <v>1</v>
      </c>
      <c r="BV12" s="33">
        <v>1</v>
      </c>
      <c r="BW12" s="32">
        <v>15000</v>
      </c>
      <c r="BX12" s="40">
        <v>127500</v>
      </c>
      <c r="BY12" s="41">
        <v>215000</v>
      </c>
      <c r="BZ12" s="41" t="s">
        <v>84</v>
      </c>
      <c r="CA12" s="26"/>
      <c r="CB12" s="23">
        <v>1</v>
      </c>
      <c r="CC12" s="24">
        <v>0</v>
      </c>
      <c r="CD12" s="24">
        <v>0</v>
      </c>
      <c r="CE12" s="24">
        <v>0</v>
      </c>
      <c r="CF12" s="25">
        <v>50000</v>
      </c>
      <c r="CG12" s="25" t="s">
        <v>84</v>
      </c>
      <c r="CH12" s="26"/>
      <c r="CI12" s="23">
        <v>20</v>
      </c>
      <c r="CJ12" s="24">
        <v>15</v>
      </c>
      <c r="CK12" s="42">
        <v>0.75</v>
      </c>
      <c r="CL12" s="24">
        <v>17</v>
      </c>
      <c r="CM12" s="24">
        <v>16</v>
      </c>
      <c r="CN12" s="42">
        <v>0.94117647058823528</v>
      </c>
      <c r="CO12" s="43">
        <v>5</v>
      </c>
      <c r="CP12" s="44">
        <v>7</v>
      </c>
      <c r="CQ12" s="24">
        <v>410000</v>
      </c>
      <c r="CR12" s="25">
        <v>680000</v>
      </c>
      <c r="CS12" s="25" t="s">
        <v>84</v>
      </c>
      <c r="CT12" s="26"/>
      <c r="CU12" s="23">
        <v>420</v>
      </c>
      <c r="CV12" s="24">
        <v>115</v>
      </c>
      <c r="CW12" s="42">
        <v>-0.72619047619047616</v>
      </c>
      <c r="CX12" s="24">
        <v>150</v>
      </c>
      <c r="CY12" s="24">
        <v>36</v>
      </c>
      <c r="CZ12" s="42">
        <v>-0.76</v>
      </c>
      <c r="DA12" s="42">
        <v>-3.3809523809523845E-2</v>
      </c>
      <c r="DB12" s="44" t="s">
        <v>87</v>
      </c>
      <c r="DC12" s="47">
        <v>0</v>
      </c>
      <c r="DD12" s="25">
        <v>300000</v>
      </c>
      <c r="DE12" s="25" t="s">
        <v>150</v>
      </c>
      <c r="DF12" s="26"/>
      <c r="DG12" s="47">
        <v>187</v>
      </c>
      <c r="DH12" s="109">
        <v>170</v>
      </c>
      <c r="DI12" s="58">
        <v>21</v>
      </c>
      <c r="DJ12" s="47">
        <v>27</v>
      </c>
      <c r="DK12" s="47">
        <v>31</v>
      </c>
      <c r="DL12" s="58">
        <v>36</v>
      </c>
      <c r="DM12" s="56"/>
      <c r="DN12" s="47">
        <v>145</v>
      </c>
      <c r="DO12" s="109">
        <v>149</v>
      </c>
      <c r="DP12" s="58">
        <v>-1</v>
      </c>
      <c r="DQ12" s="47">
        <v>4</v>
      </c>
      <c r="DR12" s="47">
        <v>7</v>
      </c>
      <c r="DS12" s="58">
        <v>11</v>
      </c>
      <c r="DT12" s="58">
        <v>383</v>
      </c>
      <c r="DU12" s="58">
        <v>183</v>
      </c>
      <c r="DV12" s="56">
        <v>-0.5221932114882506</v>
      </c>
      <c r="DW12" s="58">
        <v>357000</v>
      </c>
      <c r="DX12" s="58">
        <v>432600</v>
      </c>
      <c r="DY12" s="47" t="s">
        <v>84</v>
      </c>
      <c r="DZ12" s="26"/>
      <c r="EA12" s="23">
        <v>3</v>
      </c>
      <c r="EB12" s="24">
        <v>1</v>
      </c>
      <c r="EC12" s="42">
        <v>0.33333333333333331</v>
      </c>
      <c r="ED12" s="24">
        <v>25000</v>
      </c>
      <c r="EE12" s="25">
        <v>75000</v>
      </c>
      <c r="EF12" s="25" t="s">
        <v>84</v>
      </c>
    </row>
    <row r="13" spans="1:136" ht="20.25" customHeight="1" thickBot="1" x14ac:dyDescent="0.25">
      <c r="A13" s="1"/>
      <c r="B13" s="21" t="s">
        <v>88</v>
      </c>
      <c r="C13" s="21" t="s">
        <v>89</v>
      </c>
      <c r="D13" s="21" t="s">
        <v>151</v>
      </c>
      <c r="E13" s="45"/>
      <c r="F13" s="46">
        <v>300</v>
      </c>
      <c r="G13" s="47">
        <v>133</v>
      </c>
      <c r="H13" s="24">
        <v>34</v>
      </c>
      <c r="I13" s="47">
        <v>167</v>
      </c>
      <c r="J13" s="47">
        <v>133</v>
      </c>
      <c r="K13" s="47">
        <v>266000</v>
      </c>
      <c r="L13" s="48">
        <v>600000</v>
      </c>
      <c r="M13" s="48" t="s">
        <v>84</v>
      </c>
      <c r="N13" s="26"/>
      <c r="O13" s="27">
        <v>715</v>
      </c>
      <c r="P13" s="28">
        <v>751</v>
      </c>
      <c r="Q13" s="28">
        <v>249</v>
      </c>
      <c r="R13" s="29">
        <v>502</v>
      </c>
      <c r="S13" s="27">
        <v>109</v>
      </c>
      <c r="T13" s="28">
        <v>68</v>
      </c>
      <c r="U13" s="30">
        <v>-0.37614678899082565</v>
      </c>
      <c r="V13" s="27">
        <v>1689750</v>
      </c>
      <c r="W13" s="29">
        <v>560250</v>
      </c>
      <c r="X13" s="29" t="s">
        <v>84</v>
      </c>
      <c r="Y13" s="26"/>
      <c r="Z13" s="49" t="s">
        <v>85</v>
      </c>
      <c r="AA13" s="32">
        <v>11</v>
      </c>
      <c r="AB13" s="49">
        <v>470</v>
      </c>
      <c r="AC13" s="50">
        <v>88</v>
      </c>
      <c r="AD13" s="51">
        <v>-0.81276595744680846</v>
      </c>
      <c r="AE13" s="49">
        <v>411</v>
      </c>
      <c r="AF13" s="50">
        <v>199</v>
      </c>
      <c r="AG13" s="51">
        <v>-0.51581508515815089</v>
      </c>
      <c r="AH13" s="49">
        <v>134</v>
      </c>
      <c r="AI13" s="33">
        <v>88</v>
      </c>
      <c r="AJ13" s="51">
        <v>-0.34328358208955223</v>
      </c>
      <c r="AK13" s="49">
        <v>180</v>
      </c>
      <c r="AL13" s="50">
        <v>130</v>
      </c>
      <c r="AM13" s="51">
        <v>-0.27777777777777779</v>
      </c>
      <c r="AN13" s="26"/>
      <c r="AO13" s="52">
        <v>559</v>
      </c>
      <c r="AP13" s="53">
        <v>161</v>
      </c>
      <c r="AQ13" s="36">
        <v>398</v>
      </c>
      <c r="AR13" s="36">
        <v>410</v>
      </c>
      <c r="AS13" s="36">
        <v>421</v>
      </c>
      <c r="AT13" s="37">
        <v>438</v>
      </c>
      <c r="AU13" s="52">
        <v>26</v>
      </c>
      <c r="AV13" s="53">
        <v>33</v>
      </c>
      <c r="AW13" s="36">
        <v>19</v>
      </c>
      <c r="AX13" s="54">
        <v>14</v>
      </c>
      <c r="AY13" s="52">
        <v>205</v>
      </c>
      <c r="AZ13" s="53">
        <v>201</v>
      </c>
      <c r="BA13" s="55">
        <v>0.98048780487804876</v>
      </c>
      <c r="BB13" s="52">
        <v>452250</v>
      </c>
      <c r="BC13" s="54">
        <v>461250</v>
      </c>
      <c r="BD13" s="54" t="s">
        <v>86</v>
      </c>
      <c r="BE13" s="26"/>
      <c r="BF13" s="49">
        <v>250</v>
      </c>
      <c r="BG13" s="50">
        <v>212</v>
      </c>
      <c r="BH13" s="39">
        <v>0.84799999999999998</v>
      </c>
      <c r="BI13" s="50">
        <v>161</v>
      </c>
      <c r="BJ13" s="39">
        <v>0.64400000000000002</v>
      </c>
      <c r="BK13" s="33" t="s">
        <v>87</v>
      </c>
      <c r="BL13" s="31">
        <v>1</v>
      </c>
      <c r="BM13" s="50">
        <v>0</v>
      </c>
      <c r="BN13" s="32">
        <v>0</v>
      </c>
      <c r="BO13" s="31">
        <v>2</v>
      </c>
      <c r="BP13" s="33">
        <v>0</v>
      </c>
      <c r="BQ13" s="32">
        <v>0</v>
      </c>
      <c r="BR13" s="31">
        <v>24</v>
      </c>
      <c r="BS13" s="33">
        <v>17</v>
      </c>
      <c r="BT13" s="32">
        <v>127500</v>
      </c>
      <c r="BU13" s="31">
        <v>1</v>
      </c>
      <c r="BV13" s="33">
        <v>0</v>
      </c>
      <c r="BW13" s="32">
        <v>0</v>
      </c>
      <c r="BX13" s="40">
        <v>127500</v>
      </c>
      <c r="BY13" s="41">
        <v>345000</v>
      </c>
      <c r="BZ13" s="41" t="s">
        <v>84</v>
      </c>
      <c r="CA13" s="26"/>
      <c r="CB13" s="46">
        <v>1</v>
      </c>
      <c r="CC13" s="47">
        <v>0</v>
      </c>
      <c r="CD13" s="47">
        <v>0</v>
      </c>
      <c r="CE13" s="47">
        <v>0</v>
      </c>
      <c r="CF13" s="48">
        <v>50000</v>
      </c>
      <c r="CG13" s="48" t="s">
        <v>84</v>
      </c>
      <c r="CH13" s="26"/>
      <c r="CI13" s="46">
        <v>35</v>
      </c>
      <c r="CJ13" s="47">
        <v>31</v>
      </c>
      <c r="CK13" s="56">
        <v>0.88571428571428568</v>
      </c>
      <c r="CL13" s="47">
        <v>28</v>
      </c>
      <c r="CM13" s="47">
        <v>28</v>
      </c>
      <c r="CN13" s="56">
        <v>1</v>
      </c>
      <c r="CO13" s="57">
        <v>5</v>
      </c>
      <c r="CP13" s="58">
        <v>5</v>
      </c>
      <c r="CQ13" s="47">
        <v>350000</v>
      </c>
      <c r="CR13" s="48">
        <v>1120000</v>
      </c>
      <c r="CS13" s="48" t="s">
        <v>84</v>
      </c>
      <c r="CT13" s="26"/>
      <c r="CU13" s="46">
        <v>553</v>
      </c>
      <c r="CV13" s="47">
        <v>161</v>
      </c>
      <c r="CW13" s="56">
        <v>-0.70886075949367089</v>
      </c>
      <c r="CX13" s="47">
        <v>234</v>
      </c>
      <c r="CY13" s="47">
        <v>73</v>
      </c>
      <c r="CZ13" s="56">
        <v>-0.68803418803418803</v>
      </c>
      <c r="DA13" s="56">
        <v>2.0826571459482857E-2</v>
      </c>
      <c r="DB13" s="58" t="s">
        <v>153</v>
      </c>
      <c r="DC13" s="47">
        <v>0</v>
      </c>
      <c r="DD13" s="48">
        <v>480000</v>
      </c>
      <c r="DE13" s="48" t="s">
        <v>150</v>
      </c>
      <c r="DF13" s="26"/>
      <c r="DG13" s="47">
        <v>305</v>
      </c>
      <c r="DH13" s="109">
        <v>315</v>
      </c>
      <c r="DI13" s="58">
        <v>-3</v>
      </c>
      <c r="DJ13" s="47">
        <v>6</v>
      </c>
      <c r="DK13" s="47">
        <v>12</v>
      </c>
      <c r="DL13" s="58">
        <v>21</v>
      </c>
      <c r="DM13" s="56"/>
      <c r="DN13" s="47">
        <v>269</v>
      </c>
      <c r="DO13" s="109">
        <v>269</v>
      </c>
      <c r="DP13" s="58">
        <v>6</v>
      </c>
      <c r="DQ13" s="47">
        <v>14</v>
      </c>
      <c r="DR13" s="47">
        <v>19</v>
      </c>
      <c r="DS13" s="58">
        <v>27</v>
      </c>
      <c r="DT13" s="58">
        <v>470</v>
      </c>
      <c r="DU13" s="58">
        <v>249</v>
      </c>
      <c r="DV13" s="56">
        <v>-0.47021276595744677</v>
      </c>
      <c r="DW13" s="58">
        <v>661500</v>
      </c>
      <c r="DX13" s="58">
        <v>705600</v>
      </c>
      <c r="DY13" s="47" t="s">
        <v>84</v>
      </c>
      <c r="DZ13" s="26"/>
      <c r="EA13" s="46">
        <v>5</v>
      </c>
      <c r="EB13" s="47">
        <v>0</v>
      </c>
      <c r="EC13" s="56">
        <v>0</v>
      </c>
      <c r="ED13" s="47">
        <v>0</v>
      </c>
      <c r="EE13" s="48">
        <v>125000</v>
      </c>
      <c r="EF13" s="48" t="s">
        <v>84</v>
      </c>
    </row>
    <row r="14" spans="1:136" ht="20.25" customHeight="1" thickBot="1" x14ac:dyDescent="0.25">
      <c r="A14" s="1"/>
      <c r="B14" s="21" t="s">
        <v>90</v>
      </c>
      <c r="C14" s="21" t="s">
        <v>91</v>
      </c>
      <c r="D14" s="21" t="s">
        <v>152</v>
      </c>
      <c r="E14" s="45"/>
      <c r="F14" s="46">
        <v>75</v>
      </c>
      <c r="G14" s="47">
        <v>16</v>
      </c>
      <c r="H14" s="24">
        <v>32</v>
      </c>
      <c r="I14" s="47">
        <v>48</v>
      </c>
      <c r="J14" s="47">
        <v>27</v>
      </c>
      <c r="K14" s="47">
        <v>32000</v>
      </c>
      <c r="L14" s="48">
        <v>150000</v>
      </c>
      <c r="M14" s="48" t="s">
        <v>84</v>
      </c>
      <c r="N14" s="26"/>
      <c r="O14" s="27">
        <v>170</v>
      </c>
      <c r="P14" s="28">
        <v>179</v>
      </c>
      <c r="Q14" s="28">
        <v>78</v>
      </c>
      <c r="R14" s="29">
        <v>101</v>
      </c>
      <c r="S14" s="27">
        <v>23</v>
      </c>
      <c r="T14" s="28">
        <v>26</v>
      </c>
      <c r="U14" s="30">
        <v>0.13043478260869557</v>
      </c>
      <c r="V14" s="27">
        <v>402750</v>
      </c>
      <c r="W14" s="29">
        <v>175500</v>
      </c>
      <c r="X14" s="29" t="s">
        <v>84</v>
      </c>
      <c r="Y14" s="26"/>
      <c r="Z14" s="49" t="s">
        <v>92</v>
      </c>
      <c r="AA14" s="32">
        <v>9</v>
      </c>
      <c r="AB14" s="49">
        <v>131</v>
      </c>
      <c r="AC14" s="50">
        <v>33</v>
      </c>
      <c r="AD14" s="51">
        <v>-0.74809160305343514</v>
      </c>
      <c r="AE14" s="49">
        <v>108</v>
      </c>
      <c r="AF14" s="50">
        <v>63</v>
      </c>
      <c r="AG14" s="51">
        <v>-0.41666666666666663</v>
      </c>
      <c r="AH14" s="49">
        <v>30</v>
      </c>
      <c r="AI14" s="33">
        <v>33</v>
      </c>
      <c r="AJ14" s="51">
        <v>0.10000000000000009</v>
      </c>
      <c r="AK14" s="49">
        <v>58</v>
      </c>
      <c r="AL14" s="50">
        <v>37</v>
      </c>
      <c r="AM14" s="51">
        <v>-0.36206896551724133</v>
      </c>
      <c r="AN14" s="26"/>
      <c r="AO14" s="52">
        <v>133</v>
      </c>
      <c r="AP14" s="53">
        <v>45</v>
      </c>
      <c r="AQ14" s="36">
        <v>88</v>
      </c>
      <c r="AR14" s="36">
        <v>91</v>
      </c>
      <c r="AS14" s="36">
        <v>94</v>
      </c>
      <c r="AT14" s="37">
        <v>98</v>
      </c>
      <c r="AU14" s="52">
        <v>4</v>
      </c>
      <c r="AV14" s="53">
        <v>5</v>
      </c>
      <c r="AW14" s="36">
        <v>3</v>
      </c>
      <c r="AX14" s="54">
        <v>2</v>
      </c>
      <c r="AY14" s="52">
        <v>67</v>
      </c>
      <c r="AZ14" s="53">
        <v>68</v>
      </c>
      <c r="BA14" s="55">
        <v>1.0149253731343284</v>
      </c>
      <c r="BB14" s="52">
        <v>153000</v>
      </c>
      <c r="BC14" s="54">
        <v>150750</v>
      </c>
      <c r="BD14" s="54" t="s">
        <v>86</v>
      </c>
      <c r="BE14" s="26"/>
      <c r="BF14" s="49">
        <v>65</v>
      </c>
      <c r="BG14" s="50">
        <v>54</v>
      </c>
      <c r="BH14" s="39">
        <v>0.83076923076923082</v>
      </c>
      <c r="BI14" s="50">
        <v>45</v>
      </c>
      <c r="BJ14" s="39">
        <v>0.69230769230769229</v>
      </c>
      <c r="BK14" s="33" t="s">
        <v>87</v>
      </c>
      <c r="BL14" s="31">
        <v>1</v>
      </c>
      <c r="BM14" s="50">
        <v>0</v>
      </c>
      <c r="BN14" s="32">
        <v>0</v>
      </c>
      <c r="BO14" s="31">
        <v>1</v>
      </c>
      <c r="BP14" s="33">
        <v>0</v>
      </c>
      <c r="BQ14" s="32">
        <v>0</v>
      </c>
      <c r="BR14" s="31">
        <v>1</v>
      </c>
      <c r="BS14" s="33">
        <v>1</v>
      </c>
      <c r="BT14" s="32">
        <v>7500</v>
      </c>
      <c r="BU14" s="31">
        <v>1</v>
      </c>
      <c r="BV14" s="33">
        <v>0</v>
      </c>
      <c r="BW14" s="32">
        <v>0</v>
      </c>
      <c r="BX14" s="40">
        <v>7500</v>
      </c>
      <c r="BY14" s="41">
        <v>117500</v>
      </c>
      <c r="BZ14" s="41" t="s">
        <v>84</v>
      </c>
      <c r="CA14" s="26"/>
      <c r="CB14" s="46">
        <v>1</v>
      </c>
      <c r="CC14" s="47">
        <v>0</v>
      </c>
      <c r="CD14" s="47">
        <v>0</v>
      </c>
      <c r="CE14" s="47">
        <v>0</v>
      </c>
      <c r="CF14" s="48">
        <v>50000</v>
      </c>
      <c r="CG14" s="48" t="s">
        <v>84</v>
      </c>
      <c r="CH14" s="26"/>
      <c r="CI14" s="46">
        <v>4</v>
      </c>
      <c r="CJ14" s="47">
        <v>3</v>
      </c>
      <c r="CK14" s="56">
        <v>0.75</v>
      </c>
      <c r="CL14" s="47">
        <v>3</v>
      </c>
      <c r="CM14" s="47">
        <v>3</v>
      </c>
      <c r="CN14" s="56">
        <v>1</v>
      </c>
      <c r="CO14" s="57">
        <v>1</v>
      </c>
      <c r="CP14" s="58">
        <v>0</v>
      </c>
      <c r="CQ14" s="47">
        <v>40000</v>
      </c>
      <c r="CR14" s="48">
        <v>120000</v>
      </c>
      <c r="CS14" s="48" t="s">
        <v>84</v>
      </c>
      <c r="CT14" s="26"/>
      <c r="CU14" s="46">
        <v>133</v>
      </c>
      <c r="CV14" s="47">
        <v>47</v>
      </c>
      <c r="CW14" s="56">
        <v>-0.64661654135338353</v>
      </c>
      <c r="CX14" s="47">
        <v>38</v>
      </c>
      <c r="CY14" s="47">
        <v>16</v>
      </c>
      <c r="CZ14" s="56">
        <v>-0.57894736842105265</v>
      </c>
      <c r="DA14" s="56">
        <v>6.7669172932330879E-2</v>
      </c>
      <c r="DB14" s="58" t="s">
        <v>153</v>
      </c>
      <c r="DC14" s="47">
        <v>0</v>
      </c>
      <c r="DD14" s="48">
        <v>80000</v>
      </c>
      <c r="DE14" s="48" t="s">
        <v>150</v>
      </c>
      <c r="DF14" s="26"/>
      <c r="DG14" s="47">
        <v>110</v>
      </c>
      <c r="DH14" s="109">
        <v>104</v>
      </c>
      <c r="DI14" s="58">
        <v>9</v>
      </c>
      <c r="DJ14" s="47">
        <v>12</v>
      </c>
      <c r="DK14" s="47">
        <v>14</v>
      </c>
      <c r="DL14" s="58">
        <v>17</v>
      </c>
      <c r="DM14" s="56"/>
      <c r="DN14" s="47">
        <v>89</v>
      </c>
      <c r="DO14" s="109">
        <v>86</v>
      </c>
      <c r="DP14" s="58">
        <v>5</v>
      </c>
      <c r="DQ14" s="47">
        <v>8</v>
      </c>
      <c r="DR14" s="47">
        <v>10</v>
      </c>
      <c r="DS14" s="58">
        <v>12</v>
      </c>
      <c r="DT14" s="58">
        <v>131</v>
      </c>
      <c r="DU14" s="58">
        <v>78</v>
      </c>
      <c r="DV14" s="56">
        <v>-0.40458015267175573</v>
      </c>
      <c r="DW14" s="58">
        <v>218400</v>
      </c>
      <c r="DX14" s="58">
        <v>254100</v>
      </c>
      <c r="DY14" s="47" t="s">
        <v>84</v>
      </c>
      <c r="DZ14" s="26"/>
      <c r="EA14" s="46">
        <v>3</v>
      </c>
      <c r="EB14" s="47">
        <v>0</v>
      </c>
      <c r="EC14" s="56">
        <v>0</v>
      </c>
      <c r="ED14" s="47">
        <v>0</v>
      </c>
      <c r="EE14" s="48">
        <v>75000</v>
      </c>
      <c r="EF14" s="48" t="s">
        <v>84</v>
      </c>
    </row>
    <row r="15" spans="1:136" ht="20.25" customHeight="1" thickBot="1" x14ac:dyDescent="0.25">
      <c r="A15" s="1"/>
      <c r="B15" s="21" t="s">
        <v>93</v>
      </c>
      <c r="C15" s="21" t="s">
        <v>94</v>
      </c>
      <c r="D15" s="21" t="s">
        <v>154</v>
      </c>
      <c r="E15" s="45"/>
      <c r="F15" s="46">
        <v>175</v>
      </c>
      <c r="G15" s="47">
        <v>5</v>
      </c>
      <c r="H15" s="24">
        <v>70</v>
      </c>
      <c r="I15" s="47">
        <v>75</v>
      </c>
      <c r="J15" s="47">
        <v>100</v>
      </c>
      <c r="K15" s="47">
        <v>10000</v>
      </c>
      <c r="L15" s="48">
        <v>350000</v>
      </c>
      <c r="M15" s="48" t="s">
        <v>84</v>
      </c>
      <c r="N15" s="26"/>
      <c r="O15" s="27">
        <v>768</v>
      </c>
      <c r="P15" s="28">
        <v>806</v>
      </c>
      <c r="Q15" s="28">
        <v>130</v>
      </c>
      <c r="R15" s="29">
        <v>676</v>
      </c>
      <c r="S15" s="27">
        <v>56</v>
      </c>
      <c r="T15" s="28">
        <v>33</v>
      </c>
      <c r="U15" s="30">
        <v>-0.4107142857142857</v>
      </c>
      <c r="V15" s="27">
        <v>1813500</v>
      </c>
      <c r="W15" s="29">
        <v>292500</v>
      </c>
      <c r="X15" s="29" t="s">
        <v>84</v>
      </c>
      <c r="Y15" s="26"/>
      <c r="Z15" s="49" t="s">
        <v>85</v>
      </c>
      <c r="AA15" s="32">
        <v>16</v>
      </c>
      <c r="AB15" s="49">
        <v>633</v>
      </c>
      <c r="AC15" s="50">
        <v>57</v>
      </c>
      <c r="AD15" s="51">
        <v>-0.90995260663507105</v>
      </c>
      <c r="AE15" s="49">
        <v>426</v>
      </c>
      <c r="AF15" s="50">
        <v>72</v>
      </c>
      <c r="AG15" s="51">
        <v>-0.83098591549295775</v>
      </c>
      <c r="AH15" s="49">
        <v>94</v>
      </c>
      <c r="AI15" s="33">
        <v>58</v>
      </c>
      <c r="AJ15" s="51">
        <v>-0.38297872340425532</v>
      </c>
      <c r="AK15" s="49">
        <v>246</v>
      </c>
      <c r="AL15" s="50">
        <v>39</v>
      </c>
      <c r="AM15" s="51">
        <v>-0.84146341463414631</v>
      </c>
      <c r="AN15" s="26"/>
      <c r="AO15" s="52">
        <v>593</v>
      </c>
      <c r="AP15" s="53">
        <v>73</v>
      </c>
      <c r="AQ15" s="36">
        <v>520</v>
      </c>
      <c r="AR15" s="36">
        <v>532</v>
      </c>
      <c r="AS15" s="36">
        <v>544</v>
      </c>
      <c r="AT15" s="37">
        <v>562</v>
      </c>
      <c r="AU15" s="52">
        <v>20</v>
      </c>
      <c r="AV15" s="53">
        <v>25</v>
      </c>
      <c r="AW15" s="36">
        <v>8</v>
      </c>
      <c r="AX15" s="54">
        <v>17</v>
      </c>
      <c r="AY15" s="52">
        <v>70</v>
      </c>
      <c r="AZ15" s="53">
        <v>62</v>
      </c>
      <c r="BA15" s="55">
        <v>0.88571428571428568</v>
      </c>
      <c r="BB15" s="52">
        <v>139500</v>
      </c>
      <c r="BC15" s="54">
        <v>157500</v>
      </c>
      <c r="BD15" s="54" t="s">
        <v>86</v>
      </c>
      <c r="BE15" s="26"/>
      <c r="BF15" s="49">
        <v>105</v>
      </c>
      <c r="BG15" s="50">
        <v>63</v>
      </c>
      <c r="BH15" s="39">
        <v>0.6</v>
      </c>
      <c r="BI15" s="50">
        <v>73</v>
      </c>
      <c r="BJ15" s="39">
        <v>0.69523809523809521</v>
      </c>
      <c r="BK15" s="33" t="s">
        <v>87</v>
      </c>
      <c r="BL15" s="31">
        <v>1</v>
      </c>
      <c r="BM15" s="50">
        <v>0</v>
      </c>
      <c r="BN15" s="32">
        <v>0</v>
      </c>
      <c r="BO15" s="31">
        <v>2</v>
      </c>
      <c r="BP15" s="33">
        <v>0</v>
      </c>
      <c r="BQ15" s="32">
        <v>0</v>
      </c>
      <c r="BR15" s="31">
        <v>4</v>
      </c>
      <c r="BS15" s="33">
        <v>4</v>
      </c>
      <c r="BT15" s="32">
        <v>30000</v>
      </c>
      <c r="BU15" s="31">
        <v>1</v>
      </c>
      <c r="BV15" s="33">
        <v>0</v>
      </c>
      <c r="BW15" s="32">
        <v>0</v>
      </c>
      <c r="BX15" s="40">
        <v>30000</v>
      </c>
      <c r="BY15" s="41">
        <v>195000</v>
      </c>
      <c r="BZ15" s="41" t="s">
        <v>84</v>
      </c>
      <c r="CA15" s="26"/>
      <c r="CB15" s="46">
        <v>1</v>
      </c>
      <c r="CC15" s="47">
        <v>0</v>
      </c>
      <c r="CD15" s="47">
        <v>0</v>
      </c>
      <c r="CE15" s="47">
        <v>0</v>
      </c>
      <c r="CF15" s="48">
        <v>50000</v>
      </c>
      <c r="CG15" s="48" t="s">
        <v>84</v>
      </c>
      <c r="CH15" s="26"/>
      <c r="CI15" s="46">
        <v>9</v>
      </c>
      <c r="CJ15" s="47">
        <v>2</v>
      </c>
      <c r="CK15" s="56">
        <v>0.22222222222222221</v>
      </c>
      <c r="CL15" s="47">
        <v>12</v>
      </c>
      <c r="CM15" s="47">
        <v>4</v>
      </c>
      <c r="CN15" s="56">
        <v>0.33333333333333331</v>
      </c>
      <c r="CO15" s="57">
        <v>0</v>
      </c>
      <c r="CP15" s="58">
        <v>0</v>
      </c>
      <c r="CQ15" s="47">
        <v>0</v>
      </c>
      <c r="CR15" s="48">
        <v>480000</v>
      </c>
      <c r="CS15" s="48" t="s">
        <v>84</v>
      </c>
      <c r="CT15" s="26"/>
      <c r="CU15" s="46">
        <v>583</v>
      </c>
      <c r="CV15" s="47">
        <v>71</v>
      </c>
      <c r="CW15" s="56">
        <v>-0.87821612349914235</v>
      </c>
      <c r="CX15" s="47">
        <v>231</v>
      </c>
      <c r="CY15" s="47">
        <v>27</v>
      </c>
      <c r="CZ15" s="56">
        <v>-0.88311688311688308</v>
      </c>
      <c r="DA15" s="56">
        <v>-4.9007596177407242E-3</v>
      </c>
      <c r="DB15" s="58" t="s">
        <v>87</v>
      </c>
      <c r="DC15" s="47">
        <v>0</v>
      </c>
      <c r="DD15" s="48">
        <v>480000</v>
      </c>
      <c r="DE15" s="48" t="s">
        <v>150</v>
      </c>
      <c r="DF15" s="26"/>
      <c r="DG15" s="47">
        <v>62</v>
      </c>
      <c r="DH15" s="109">
        <v>45</v>
      </c>
      <c r="DI15" s="58">
        <v>19</v>
      </c>
      <c r="DJ15" s="47">
        <v>21</v>
      </c>
      <c r="DK15" s="47">
        <v>22</v>
      </c>
      <c r="DL15" s="58">
        <v>24</v>
      </c>
      <c r="DM15" s="56"/>
      <c r="DN15" s="47">
        <v>37</v>
      </c>
      <c r="DO15" s="109">
        <v>26</v>
      </c>
      <c r="DP15" s="58">
        <v>12</v>
      </c>
      <c r="DQ15" s="47">
        <v>13</v>
      </c>
      <c r="DR15" s="47">
        <v>14</v>
      </c>
      <c r="DS15" s="58">
        <v>15</v>
      </c>
      <c r="DT15" s="58">
        <v>633</v>
      </c>
      <c r="DU15" s="58">
        <v>130</v>
      </c>
      <c r="DV15" s="56">
        <v>-0.79462875197472349</v>
      </c>
      <c r="DW15" s="58">
        <v>94500</v>
      </c>
      <c r="DX15" s="58">
        <v>144900</v>
      </c>
      <c r="DY15" s="47" t="s">
        <v>84</v>
      </c>
      <c r="DZ15" s="26"/>
      <c r="EA15" s="46">
        <v>6</v>
      </c>
      <c r="EB15" s="47">
        <v>2</v>
      </c>
      <c r="EC15" s="56">
        <v>0.33333333333333331</v>
      </c>
      <c r="ED15" s="47">
        <v>50000</v>
      </c>
      <c r="EE15" s="48">
        <v>150000</v>
      </c>
      <c r="EF15" s="48" t="s">
        <v>84</v>
      </c>
    </row>
    <row r="16" spans="1:136" ht="20.25" customHeight="1" thickBot="1" x14ac:dyDescent="0.25">
      <c r="A16" s="1"/>
      <c r="B16" s="21" t="s">
        <v>95</v>
      </c>
      <c r="C16" s="21" t="s">
        <v>96</v>
      </c>
      <c r="D16" s="21" t="s">
        <v>155</v>
      </c>
      <c r="E16" s="45"/>
      <c r="F16" s="46">
        <v>190</v>
      </c>
      <c r="G16" s="47">
        <v>67</v>
      </c>
      <c r="H16" s="24">
        <v>46</v>
      </c>
      <c r="I16" s="47">
        <v>113</v>
      </c>
      <c r="J16" s="47">
        <v>77</v>
      </c>
      <c r="K16" s="47">
        <v>134000</v>
      </c>
      <c r="L16" s="48">
        <v>380000</v>
      </c>
      <c r="M16" s="48" t="s">
        <v>84</v>
      </c>
      <c r="N16" s="26"/>
      <c r="O16" s="27">
        <v>493</v>
      </c>
      <c r="P16" s="28">
        <v>518</v>
      </c>
      <c r="Q16" s="28">
        <v>181</v>
      </c>
      <c r="R16" s="29">
        <v>337</v>
      </c>
      <c r="S16" s="27">
        <v>74</v>
      </c>
      <c r="T16" s="28">
        <v>65</v>
      </c>
      <c r="U16" s="30">
        <v>-0.1216216216216216</v>
      </c>
      <c r="V16" s="27">
        <v>1165500</v>
      </c>
      <c r="W16" s="29">
        <v>407250</v>
      </c>
      <c r="X16" s="29" t="s">
        <v>84</v>
      </c>
      <c r="Y16" s="26"/>
      <c r="Z16" s="49" t="s">
        <v>97</v>
      </c>
      <c r="AA16" s="32">
        <v>3</v>
      </c>
      <c r="AB16" s="49">
        <v>347</v>
      </c>
      <c r="AC16" s="50">
        <v>70</v>
      </c>
      <c r="AD16" s="51">
        <v>-0.79827089337175794</v>
      </c>
      <c r="AE16" s="49">
        <v>338</v>
      </c>
      <c r="AF16" s="50">
        <v>172</v>
      </c>
      <c r="AG16" s="51">
        <v>-0.49112426035502954</v>
      </c>
      <c r="AH16" s="49">
        <v>79</v>
      </c>
      <c r="AI16" s="33">
        <v>70</v>
      </c>
      <c r="AJ16" s="51">
        <v>-0.11392405063291144</v>
      </c>
      <c r="AK16" s="49">
        <v>173</v>
      </c>
      <c r="AL16" s="50">
        <v>106</v>
      </c>
      <c r="AM16" s="51">
        <v>-0.38728323699421963</v>
      </c>
      <c r="AN16" s="26"/>
      <c r="AO16" s="52">
        <v>376</v>
      </c>
      <c r="AP16" s="53">
        <v>111</v>
      </c>
      <c r="AQ16" s="36">
        <v>265</v>
      </c>
      <c r="AR16" s="36">
        <v>273</v>
      </c>
      <c r="AS16" s="36">
        <v>281</v>
      </c>
      <c r="AT16" s="37">
        <v>292</v>
      </c>
      <c r="AU16" s="52">
        <v>19</v>
      </c>
      <c r="AV16" s="53">
        <v>24</v>
      </c>
      <c r="AW16" s="36">
        <v>14</v>
      </c>
      <c r="AX16" s="54">
        <v>10</v>
      </c>
      <c r="AY16" s="52">
        <v>148</v>
      </c>
      <c r="AZ16" s="53">
        <v>145</v>
      </c>
      <c r="BA16" s="55">
        <v>0.97972972972972971</v>
      </c>
      <c r="BB16" s="52">
        <v>326250</v>
      </c>
      <c r="BC16" s="54">
        <v>333000</v>
      </c>
      <c r="BD16" s="54" t="s">
        <v>86</v>
      </c>
      <c r="BE16" s="26"/>
      <c r="BF16" s="49">
        <v>155</v>
      </c>
      <c r="BG16" s="50">
        <v>137</v>
      </c>
      <c r="BH16" s="39">
        <v>0.88387096774193552</v>
      </c>
      <c r="BI16" s="50">
        <v>111</v>
      </c>
      <c r="BJ16" s="39">
        <v>0.71612903225806457</v>
      </c>
      <c r="BK16" s="33" t="s">
        <v>87</v>
      </c>
      <c r="BL16" s="31">
        <v>1</v>
      </c>
      <c r="BM16" s="50">
        <v>0</v>
      </c>
      <c r="BN16" s="32">
        <v>0</v>
      </c>
      <c r="BO16" s="31">
        <v>1</v>
      </c>
      <c r="BP16" s="33">
        <v>0</v>
      </c>
      <c r="BQ16" s="32">
        <v>0</v>
      </c>
      <c r="BR16" s="31">
        <v>4</v>
      </c>
      <c r="BS16" s="33">
        <v>6</v>
      </c>
      <c r="BT16" s="32">
        <v>45000</v>
      </c>
      <c r="BU16" s="31">
        <v>1</v>
      </c>
      <c r="BV16" s="33">
        <v>0</v>
      </c>
      <c r="BW16" s="32">
        <v>0</v>
      </c>
      <c r="BX16" s="40">
        <v>45000</v>
      </c>
      <c r="BY16" s="41">
        <v>140000</v>
      </c>
      <c r="BZ16" s="41" t="s">
        <v>84</v>
      </c>
      <c r="CA16" s="26"/>
      <c r="CB16" s="46">
        <v>1</v>
      </c>
      <c r="CC16" s="47">
        <v>0</v>
      </c>
      <c r="CD16" s="47">
        <v>0</v>
      </c>
      <c r="CE16" s="47">
        <v>0</v>
      </c>
      <c r="CF16" s="48">
        <v>50000</v>
      </c>
      <c r="CG16" s="48" t="s">
        <v>84</v>
      </c>
      <c r="CH16" s="26"/>
      <c r="CI16" s="46">
        <v>15</v>
      </c>
      <c r="CJ16" s="47">
        <v>9</v>
      </c>
      <c r="CK16" s="56">
        <v>0.6</v>
      </c>
      <c r="CL16" s="47">
        <v>18</v>
      </c>
      <c r="CM16" s="47">
        <v>18</v>
      </c>
      <c r="CN16" s="56">
        <v>1</v>
      </c>
      <c r="CO16" s="57">
        <v>10</v>
      </c>
      <c r="CP16" s="58">
        <v>4</v>
      </c>
      <c r="CQ16" s="47">
        <v>520000</v>
      </c>
      <c r="CR16" s="48">
        <v>720000</v>
      </c>
      <c r="CS16" s="48" t="s">
        <v>84</v>
      </c>
      <c r="CT16" s="26"/>
      <c r="CU16" s="46">
        <v>374</v>
      </c>
      <c r="CV16" s="47">
        <v>110</v>
      </c>
      <c r="CW16" s="56">
        <v>-0.70588235294117641</v>
      </c>
      <c r="CX16" s="47">
        <v>110</v>
      </c>
      <c r="CY16" s="47">
        <v>40</v>
      </c>
      <c r="CZ16" s="56">
        <v>-0.63636363636363635</v>
      </c>
      <c r="DA16" s="56">
        <v>6.9518716577540052E-2</v>
      </c>
      <c r="DB16" s="58" t="s">
        <v>153</v>
      </c>
      <c r="DC16" s="47">
        <v>0</v>
      </c>
      <c r="DD16" s="48">
        <v>220000</v>
      </c>
      <c r="DE16" s="48" t="s">
        <v>150</v>
      </c>
      <c r="DF16" s="26"/>
      <c r="DG16" s="47">
        <v>204</v>
      </c>
      <c r="DH16" s="109">
        <v>180</v>
      </c>
      <c r="DI16" s="58">
        <v>29</v>
      </c>
      <c r="DJ16" s="47">
        <v>35</v>
      </c>
      <c r="DK16" s="47">
        <v>39</v>
      </c>
      <c r="DL16" s="58">
        <v>45</v>
      </c>
      <c r="DM16" s="56"/>
      <c r="DN16" s="47">
        <v>201</v>
      </c>
      <c r="DO16" s="109">
        <v>176</v>
      </c>
      <c r="DP16" s="58">
        <v>30</v>
      </c>
      <c r="DQ16" s="47">
        <v>36</v>
      </c>
      <c r="DR16" s="47">
        <v>40</v>
      </c>
      <c r="DS16" s="58">
        <v>46</v>
      </c>
      <c r="DT16" s="58">
        <v>347</v>
      </c>
      <c r="DU16" s="58">
        <v>181</v>
      </c>
      <c r="DV16" s="56">
        <v>-0.47838616714697402</v>
      </c>
      <c r="DW16" s="58">
        <v>378000</v>
      </c>
      <c r="DX16" s="58">
        <v>472500</v>
      </c>
      <c r="DY16" s="47" t="s">
        <v>84</v>
      </c>
      <c r="DZ16" s="26"/>
      <c r="EA16" s="46">
        <v>3</v>
      </c>
      <c r="EB16" s="47">
        <v>1</v>
      </c>
      <c r="EC16" s="56">
        <v>0.33333333333333331</v>
      </c>
      <c r="ED16" s="47">
        <v>25000</v>
      </c>
      <c r="EE16" s="48">
        <v>75000</v>
      </c>
      <c r="EF16" s="48" t="s">
        <v>84</v>
      </c>
    </row>
    <row r="17" spans="1:136" ht="20.25" customHeight="1" thickBot="1" x14ac:dyDescent="0.25">
      <c r="A17" s="1"/>
      <c r="B17" s="21" t="s">
        <v>98</v>
      </c>
      <c r="C17" s="21" t="s">
        <v>99</v>
      </c>
      <c r="D17" s="21" t="s">
        <v>156</v>
      </c>
      <c r="E17" s="45"/>
      <c r="F17" s="46">
        <v>295</v>
      </c>
      <c r="G17" s="47">
        <v>124</v>
      </c>
      <c r="H17" s="24">
        <v>98</v>
      </c>
      <c r="I17" s="47">
        <v>222</v>
      </c>
      <c r="J17" s="47">
        <v>73</v>
      </c>
      <c r="K17" s="47">
        <v>248000</v>
      </c>
      <c r="L17" s="48">
        <v>590000</v>
      </c>
      <c r="M17" s="48" t="s">
        <v>84</v>
      </c>
      <c r="N17" s="26"/>
      <c r="O17" s="27">
        <v>409</v>
      </c>
      <c r="P17" s="28">
        <v>429</v>
      </c>
      <c r="Q17" s="28">
        <v>343</v>
      </c>
      <c r="R17" s="29">
        <v>86</v>
      </c>
      <c r="S17" s="27">
        <v>70</v>
      </c>
      <c r="T17" s="28">
        <v>52</v>
      </c>
      <c r="U17" s="30">
        <v>-0.25714285714285712</v>
      </c>
      <c r="V17" s="27">
        <v>965250</v>
      </c>
      <c r="W17" s="29">
        <v>771750</v>
      </c>
      <c r="X17" s="29" t="s">
        <v>84</v>
      </c>
      <c r="Y17" s="26"/>
      <c r="Z17" s="49" t="s">
        <v>100</v>
      </c>
      <c r="AA17" s="32">
        <v>9</v>
      </c>
      <c r="AB17" s="49">
        <v>199</v>
      </c>
      <c r="AC17" s="50">
        <v>128</v>
      </c>
      <c r="AD17" s="51">
        <v>-0.35678391959798994</v>
      </c>
      <c r="AE17" s="49">
        <v>117</v>
      </c>
      <c r="AF17" s="50">
        <v>170</v>
      </c>
      <c r="AG17" s="51">
        <v>0.45299145299145294</v>
      </c>
      <c r="AH17" s="49">
        <v>122</v>
      </c>
      <c r="AI17" s="33">
        <v>129</v>
      </c>
      <c r="AJ17" s="51">
        <v>5.7377049180327822E-2</v>
      </c>
      <c r="AK17" s="49">
        <v>71</v>
      </c>
      <c r="AL17" s="50">
        <v>118</v>
      </c>
      <c r="AM17" s="51">
        <v>0.6619718309859155</v>
      </c>
      <c r="AN17" s="26"/>
      <c r="AO17" s="52">
        <v>405</v>
      </c>
      <c r="AP17" s="53">
        <v>215</v>
      </c>
      <c r="AQ17" s="36">
        <v>190</v>
      </c>
      <c r="AR17" s="36">
        <v>199</v>
      </c>
      <c r="AS17" s="36">
        <v>207</v>
      </c>
      <c r="AT17" s="37">
        <v>219</v>
      </c>
      <c r="AU17" s="52">
        <v>15</v>
      </c>
      <c r="AV17" s="53">
        <v>19</v>
      </c>
      <c r="AW17" s="36">
        <v>45</v>
      </c>
      <c r="AX17" s="54">
        <v>-26</v>
      </c>
      <c r="AY17" s="52">
        <v>237</v>
      </c>
      <c r="AZ17" s="53">
        <v>228</v>
      </c>
      <c r="BA17" s="55">
        <v>0.96202531645569622</v>
      </c>
      <c r="BB17" s="52">
        <v>513000</v>
      </c>
      <c r="BC17" s="54">
        <v>533250</v>
      </c>
      <c r="BD17" s="54" t="s">
        <v>86</v>
      </c>
      <c r="BE17" s="26"/>
      <c r="BF17" s="49">
        <v>300</v>
      </c>
      <c r="BG17" s="50">
        <v>272</v>
      </c>
      <c r="BH17" s="39">
        <v>0.90666666666666662</v>
      </c>
      <c r="BI17" s="50">
        <v>215</v>
      </c>
      <c r="BJ17" s="39">
        <v>0.71666666666666667</v>
      </c>
      <c r="BK17" s="33" t="s">
        <v>87</v>
      </c>
      <c r="BL17" s="31">
        <v>1</v>
      </c>
      <c r="BM17" s="50">
        <v>0</v>
      </c>
      <c r="BN17" s="32">
        <v>0</v>
      </c>
      <c r="BO17" s="31">
        <v>1</v>
      </c>
      <c r="BP17" s="33">
        <v>0</v>
      </c>
      <c r="BQ17" s="32">
        <v>0</v>
      </c>
      <c r="BR17" s="31">
        <v>15</v>
      </c>
      <c r="BS17" s="33">
        <v>11</v>
      </c>
      <c r="BT17" s="32">
        <v>82500</v>
      </c>
      <c r="BU17" s="31">
        <v>1</v>
      </c>
      <c r="BV17" s="33">
        <v>0</v>
      </c>
      <c r="BW17" s="32">
        <v>0</v>
      </c>
      <c r="BX17" s="40">
        <v>82500</v>
      </c>
      <c r="BY17" s="41">
        <v>222500</v>
      </c>
      <c r="BZ17" s="41" t="s">
        <v>84</v>
      </c>
      <c r="CA17" s="26"/>
      <c r="CB17" s="46">
        <v>1</v>
      </c>
      <c r="CC17" s="47">
        <v>0</v>
      </c>
      <c r="CD17" s="47">
        <v>0</v>
      </c>
      <c r="CE17" s="47">
        <v>0</v>
      </c>
      <c r="CF17" s="48">
        <v>50000</v>
      </c>
      <c r="CG17" s="48" t="s">
        <v>84</v>
      </c>
      <c r="CH17" s="26"/>
      <c r="CI17" s="46">
        <v>58</v>
      </c>
      <c r="CJ17" s="47">
        <v>45</v>
      </c>
      <c r="CK17" s="56">
        <v>0.77586206896551724</v>
      </c>
      <c r="CL17" s="47">
        <v>70</v>
      </c>
      <c r="CM17" s="47">
        <v>66</v>
      </c>
      <c r="CN17" s="56">
        <v>0.94285714285714284</v>
      </c>
      <c r="CO17" s="57">
        <v>14</v>
      </c>
      <c r="CP17" s="58">
        <v>8</v>
      </c>
      <c r="CQ17" s="47">
        <v>800000</v>
      </c>
      <c r="CR17" s="48">
        <v>2800000</v>
      </c>
      <c r="CS17" s="48" t="s">
        <v>84</v>
      </c>
      <c r="CT17" s="26"/>
      <c r="CU17" s="46">
        <v>403</v>
      </c>
      <c r="CV17" s="47">
        <v>214</v>
      </c>
      <c r="CW17" s="56">
        <v>-0.46898263027295284</v>
      </c>
      <c r="CX17" s="47">
        <v>150</v>
      </c>
      <c r="CY17" s="47">
        <v>72</v>
      </c>
      <c r="CZ17" s="56">
        <v>-0.52</v>
      </c>
      <c r="DA17" s="56">
        <v>-5.1017369727047179E-2</v>
      </c>
      <c r="DB17" s="58" t="s">
        <v>87</v>
      </c>
      <c r="DC17" s="47">
        <v>0</v>
      </c>
      <c r="DD17" s="48">
        <v>300000</v>
      </c>
      <c r="DE17" s="48" t="s">
        <v>150</v>
      </c>
      <c r="DF17" s="26"/>
      <c r="DG17" s="47">
        <v>61</v>
      </c>
      <c r="DH17" s="109">
        <v>178</v>
      </c>
      <c r="DI17" s="58">
        <v>-115</v>
      </c>
      <c r="DJ17" s="47">
        <v>-113</v>
      </c>
      <c r="DK17" s="47">
        <v>-112</v>
      </c>
      <c r="DL17" s="58">
        <v>-110</v>
      </c>
      <c r="DM17" s="56"/>
      <c r="DN17" s="47">
        <v>37</v>
      </c>
      <c r="DO17" s="109">
        <v>103</v>
      </c>
      <c r="DP17" s="58">
        <v>-65</v>
      </c>
      <c r="DQ17" s="47">
        <v>-64</v>
      </c>
      <c r="DR17" s="47">
        <v>-63</v>
      </c>
      <c r="DS17" s="58">
        <v>-62</v>
      </c>
      <c r="DT17" s="58">
        <v>199</v>
      </c>
      <c r="DU17" s="58">
        <v>343</v>
      </c>
      <c r="DV17" s="56">
        <v>0.72361809045226133</v>
      </c>
      <c r="DW17" s="58">
        <v>373800</v>
      </c>
      <c r="DX17" s="58">
        <v>142800</v>
      </c>
      <c r="DY17" s="47" t="s">
        <v>201</v>
      </c>
      <c r="DZ17" s="26"/>
      <c r="EA17" s="46">
        <v>8</v>
      </c>
      <c r="EB17" s="47">
        <v>1</v>
      </c>
      <c r="EC17" s="56">
        <v>0.125</v>
      </c>
      <c r="ED17" s="47">
        <v>25000</v>
      </c>
      <c r="EE17" s="48">
        <v>200000</v>
      </c>
      <c r="EF17" s="48" t="s">
        <v>84</v>
      </c>
    </row>
    <row r="18" spans="1:136" ht="20.25" customHeight="1" thickBot="1" x14ac:dyDescent="0.25">
      <c r="A18" s="1"/>
      <c r="B18" s="21" t="s">
        <v>101</v>
      </c>
      <c r="C18" s="21" t="s">
        <v>102</v>
      </c>
      <c r="D18" s="21" t="s">
        <v>157</v>
      </c>
      <c r="E18" s="45"/>
      <c r="F18" s="46">
        <v>150</v>
      </c>
      <c r="G18" s="47">
        <v>70</v>
      </c>
      <c r="H18" s="24">
        <v>37</v>
      </c>
      <c r="I18" s="47">
        <v>107</v>
      </c>
      <c r="J18" s="47">
        <v>43</v>
      </c>
      <c r="K18" s="47">
        <v>140000</v>
      </c>
      <c r="L18" s="48">
        <v>300000</v>
      </c>
      <c r="M18" s="48" t="s">
        <v>84</v>
      </c>
      <c r="N18" s="26"/>
      <c r="O18" s="27">
        <v>360</v>
      </c>
      <c r="P18" s="28">
        <v>378</v>
      </c>
      <c r="Q18" s="28">
        <v>171</v>
      </c>
      <c r="R18" s="29">
        <v>207</v>
      </c>
      <c r="S18" s="27">
        <v>38</v>
      </c>
      <c r="T18" s="28">
        <v>31</v>
      </c>
      <c r="U18" s="30">
        <v>-0.18421052631578949</v>
      </c>
      <c r="V18" s="27">
        <v>850500</v>
      </c>
      <c r="W18" s="29">
        <v>384750</v>
      </c>
      <c r="X18" s="29" t="s">
        <v>84</v>
      </c>
      <c r="Y18" s="26"/>
      <c r="Z18" s="49" t="s">
        <v>85</v>
      </c>
      <c r="AA18" s="32">
        <v>2</v>
      </c>
      <c r="AB18" s="49">
        <v>272</v>
      </c>
      <c r="AC18" s="50">
        <v>70</v>
      </c>
      <c r="AD18" s="51">
        <v>-0.74264705882352944</v>
      </c>
      <c r="AE18" s="49">
        <v>168</v>
      </c>
      <c r="AF18" s="50">
        <v>78</v>
      </c>
      <c r="AG18" s="51">
        <v>-0.5357142857142857</v>
      </c>
      <c r="AH18" s="49">
        <v>63</v>
      </c>
      <c r="AI18" s="33">
        <v>73</v>
      </c>
      <c r="AJ18" s="51">
        <v>0.15873015873015883</v>
      </c>
      <c r="AK18" s="49">
        <v>76</v>
      </c>
      <c r="AL18" s="50">
        <v>47</v>
      </c>
      <c r="AM18" s="51">
        <v>-0.38157894736842102</v>
      </c>
      <c r="AN18" s="26"/>
      <c r="AO18" s="52">
        <v>284</v>
      </c>
      <c r="AP18" s="53">
        <v>101</v>
      </c>
      <c r="AQ18" s="36">
        <v>183</v>
      </c>
      <c r="AR18" s="36">
        <v>189</v>
      </c>
      <c r="AS18" s="36">
        <v>195</v>
      </c>
      <c r="AT18" s="37">
        <v>203</v>
      </c>
      <c r="AU18" s="52">
        <v>11</v>
      </c>
      <c r="AV18" s="53">
        <v>14</v>
      </c>
      <c r="AW18" s="36">
        <v>4</v>
      </c>
      <c r="AX18" s="54">
        <v>10</v>
      </c>
      <c r="AY18" s="52">
        <v>127</v>
      </c>
      <c r="AZ18" s="53">
        <v>124</v>
      </c>
      <c r="BA18" s="55">
        <v>0.97637795275590555</v>
      </c>
      <c r="BB18" s="52">
        <v>279000</v>
      </c>
      <c r="BC18" s="54">
        <v>285750</v>
      </c>
      <c r="BD18" s="54" t="s">
        <v>86</v>
      </c>
      <c r="BE18" s="26"/>
      <c r="BF18" s="49">
        <v>145</v>
      </c>
      <c r="BG18" s="50">
        <v>135</v>
      </c>
      <c r="BH18" s="39">
        <v>0.93103448275862066</v>
      </c>
      <c r="BI18" s="50">
        <v>101</v>
      </c>
      <c r="BJ18" s="39">
        <v>0.69655172413793098</v>
      </c>
      <c r="BK18" s="33" t="s">
        <v>87</v>
      </c>
      <c r="BL18" s="31">
        <v>1</v>
      </c>
      <c r="BM18" s="50">
        <v>0</v>
      </c>
      <c r="BN18" s="32">
        <v>0</v>
      </c>
      <c r="BO18" s="31">
        <v>1</v>
      </c>
      <c r="BP18" s="33">
        <v>0</v>
      </c>
      <c r="BQ18" s="32">
        <v>0</v>
      </c>
      <c r="BR18" s="31">
        <v>4</v>
      </c>
      <c r="BS18" s="33">
        <v>1</v>
      </c>
      <c r="BT18" s="32">
        <v>7500</v>
      </c>
      <c r="BU18" s="31">
        <v>1</v>
      </c>
      <c r="BV18" s="33">
        <v>0</v>
      </c>
      <c r="BW18" s="32">
        <v>0</v>
      </c>
      <c r="BX18" s="40">
        <v>7500</v>
      </c>
      <c r="BY18" s="41">
        <v>140000</v>
      </c>
      <c r="BZ18" s="41" t="s">
        <v>84</v>
      </c>
      <c r="CA18" s="26"/>
      <c r="CB18" s="46">
        <v>1</v>
      </c>
      <c r="CC18" s="47">
        <v>0</v>
      </c>
      <c r="CD18" s="47">
        <v>0</v>
      </c>
      <c r="CE18" s="47">
        <v>0</v>
      </c>
      <c r="CF18" s="48">
        <v>50000</v>
      </c>
      <c r="CG18" s="48" t="s">
        <v>84</v>
      </c>
      <c r="CH18" s="26"/>
      <c r="CI18" s="46">
        <v>16</v>
      </c>
      <c r="CJ18" s="47">
        <v>7</v>
      </c>
      <c r="CK18" s="56">
        <v>0.4375</v>
      </c>
      <c r="CL18" s="47">
        <v>14</v>
      </c>
      <c r="CM18" s="47">
        <v>11</v>
      </c>
      <c r="CN18" s="56">
        <v>0.7857142857142857</v>
      </c>
      <c r="CO18" s="57">
        <v>2</v>
      </c>
      <c r="CP18" s="58">
        <v>0</v>
      </c>
      <c r="CQ18" s="47">
        <v>80000</v>
      </c>
      <c r="CR18" s="48">
        <v>560000</v>
      </c>
      <c r="CS18" s="48" t="s">
        <v>84</v>
      </c>
      <c r="CT18" s="26"/>
      <c r="CU18" s="46">
        <v>284</v>
      </c>
      <c r="CV18" s="47">
        <v>100</v>
      </c>
      <c r="CW18" s="56">
        <v>-0.647887323943662</v>
      </c>
      <c r="CX18" s="47">
        <v>85</v>
      </c>
      <c r="CY18" s="47">
        <v>30</v>
      </c>
      <c r="CZ18" s="56">
        <v>-0.64705882352941169</v>
      </c>
      <c r="DA18" s="56">
        <v>8.2850041425031051E-4</v>
      </c>
      <c r="DB18" s="58" t="s">
        <v>87</v>
      </c>
      <c r="DC18" s="47">
        <v>0</v>
      </c>
      <c r="DD18" s="48">
        <v>180000</v>
      </c>
      <c r="DE18" s="48" t="s">
        <v>150</v>
      </c>
      <c r="DF18" s="26"/>
      <c r="DG18" s="47">
        <v>168</v>
      </c>
      <c r="DH18" s="109">
        <v>219</v>
      </c>
      <c r="DI18" s="58">
        <v>-47</v>
      </c>
      <c r="DJ18" s="47">
        <v>-42</v>
      </c>
      <c r="DK18" s="47">
        <v>-39</v>
      </c>
      <c r="DL18" s="58">
        <v>-34</v>
      </c>
      <c r="DM18" s="56"/>
      <c r="DN18" s="47">
        <v>108</v>
      </c>
      <c r="DO18" s="109">
        <v>132</v>
      </c>
      <c r="DP18" s="58">
        <v>-21</v>
      </c>
      <c r="DQ18" s="47">
        <v>-18</v>
      </c>
      <c r="DR18" s="47">
        <v>-16</v>
      </c>
      <c r="DS18" s="58">
        <v>-13</v>
      </c>
      <c r="DT18" s="58">
        <v>272</v>
      </c>
      <c r="DU18" s="58">
        <v>171</v>
      </c>
      <c r="DV18" s="56">
        <v>-0.37132352941176472</v>
      </c>
      <c r="DW18" s="58">
        <v>459900</v>
      </c>
      <c r="DX18" s="58">
        <v>388500</v>
      </c>
      <c r="DY18" s="47" t="s">
        <v>84</v>
      </c>
      <c r="DZ18" s="26"/>
      <c r="EA18" s="46">
        <v>3</v>
      </c>
      <c r="EB18" s="47">
        <v>2</v>
      </c>
      <c r="EC18" s="56">
        <v>0.66666666666666663</v>
      </c>
      <c r="ED18" s="47">
        <v>50000</v>
      </c>
      <c r="EE18" s="48">
        <v>75000</v>
      </c>
      <c r="EF18" s="48" t="s">
        <v>84</v>
      </c>
    </row>
    <row r="19" spans="1:136" ht="20.25" customHeight="1" thickBot="1" x14ac:dyDescent="0.25">
      <c r="A19" s="1"/>
      <c r="B19" s="21" t="s">
        <v>103</v>
      </c>
      <c r="C19" s="21" t="s">
        <v>104</v>
      </c>
      <c r="D19" s="21" t="s">
        <v>158</v>
      </c>
      <c r="E19" s="45"/>
      <c r="F19" s="46">
        <v>175</v>
      </c>
      <c r="G19" s="47">
        <v>86</v>
      </c>
      <c r="H19" s="24">
        <v>46</v>
      </c>
      <c r="I19" s="47">
        <v>132</v>
      </c>
      <c r="J19" s="47">
        <v>43</v>
      </c>
      <c r="K19" s="47">
        <v>172000</v>
      </c>
      <c r="L19" s="48">
        <v>350000</v>
      </c>
      <c r="M19" s="48" t="s">
        <v>84</v>
      </c>
      <c r="N19" s="26"/>
      <c r="O19" s="27">
        <v>478</v>
      </c>
      <c r="P19" s="28">
        <v>502</v>
      </c>
      <c r="Q19" s="28">
        <v>203</v>
      </c>
      <c r="R19" s="29">
        <v>299</v>
      </c>
      <c r="S19" s="27">
        <v>43</v>
      </c>
      <c r="T19" s="28">
        <v>46</v>
      </c>
      <c r="U19" s="30">
        <v>6.9767441860465018E-2</v>
      </c>
      <c r="V19" s="27">
        <v>1129500</v>
      </c>
      <c r="W19" s="29">
        <v>456750</v>
      </c>
      <c r="X19" s="29" t="s">
        <v>84</v>
      </c>
      <c r="Y19" s="26"/>
      <c r="Z19" s="49" t="s">
        <v>85</v>
      </c>
      <c r="AA19" s="32">
        <v>5</v>
      </c>
      <c r="AB19" s="49">
        <v>336</v>
      </c>
      <c r="AC19" s="50">
        <v>75</v>
      </c>
      <c r="AD19" s="51">
        <v>-0.7767857142857143</v>
      </c>
      <c r="AE19" s="49">
        <v>250</v>
      </c>
      <c r="AF19" s="50">
        <v>130</v>
      </c>
      <c r="AG19" s="51">
        <v>-0.48</v>
      </c>
      <c r="AH19" s="49">
        <v>59</v>
      </c>
      <c r="AI19" s="33">
        <v>75</v>
      </c>
      <c r="AJ19" s="51">
        <v>0.27118644067796605</v>
      </c>
      <c r="AK19" s="49">
        <v>118</v>
      </c>
      <c r="AL19" s="50">
        <v>84</v>
      </c>
      <c r="AM19" s="51">
        <v>-0.28813559322033899</v>
      </c>
      <c r="AN19" s="26"/>
      <c r="AO19" s="52">
        <v>369</v>
      </c>
      <c r="AP19" s="53">
        <v>128</v>
      </c>
      <c r="AQ19" s="36">
        <v>241</v>
      </c>
      <c r="AR19" s="36">
        <v>249</v>
      </c>
      <c r="AS19" s="36">
        <v>256</v>
      </c>
      <c r="AT19" s="37">
        <v>267</v>
      </c>
      <c r="AU19" s="52">
        <v>22</v>
      </c>
      <c r="AV19" s="53">
        <v>28</v>
      </c>
      <c r="AW19" s="36">
        <v>13</v>
      </c>
      <c r="AX19" s="54">
        <v>15</v>
      </c>
      <c r="AY19" s="52">
        <v>180</v>
      </c>
      <c r="AZ19" s="53">
        <v>172</v>
      </c>
      <c r="BA19" s="55">
        <v>0.9555555555555556</v>
      </c>
      <c r="BB19" s="52">
        <v>387000</v>
      </c>
      <c r="BC19" s="54">
        <v>405000</v>
      </c>
      <c r="BD19" s="54" t="s">
        <v>86</v>
      </c>
      <c r="BE19" s="26"/>
      <c r="BF19" s="49">
        <v>190</v>
      </c>
      <c r="BG19" s="50">
        <v>182</v>
      </c>
      <c r="BH19" s="39">
        <v>0.95789473684210524</v>
      </c>
      <c r="BI19" s="50">
        <v>128</v>
      </c>
      <c r="BJ19" s="39">
        <v>0.67368421052631577</v>
      </c>
      <c r="BK19" s="33" t="s">
        <v>87</v>
      </c>
      <c r="BL19" s="31">
        <v>1</v>
      </c>
      <c r="BM19" s="50">
        <v>0</v>
      </c>
      <c r="BN19" s="32">
        <v>0</v>
      </c>
      <c r="BO19" s="31">
        <v>1</v>
      </c>
      <c r="BP19" s="33">
        <v>0</v>
      </c>
      <c r="BQ19" s="32">
        <v>0</v>
      </c>
      <c r="BR19" s="31">
        <v>6</v>
      </c>
      <c r="BS19" s="33">
        <v>11</v>
      </c>
      <c r="BT19" s="32">
        <v>82500</v>
      </c>
      <c r="BU19" s="31">
        <v>1</v>
      </c>
      <c r="BV19" s="33">
        <v>0</v>
      </c>
      <c r="BW19" s="32">
        <v>0</v>
      </c>
      <c r="BX19" s="40">
        <v>82500</v>
      </c>
      <c r="BY19" s="41">
        <v>155000</v>
      </c>
      <c r="BZ19" s="41" t="s">
        <v>84</v>
      </c>
      <c r="CA19" s="26"/>
      <c r="CB19" s="46">
        <v>1</v>
      </c>
      <c r="CC19" s="47">
        <v>0</v>
      </c>
      <c r="CD19" s="47">
        <v>0</v>
      </c>
      <c r="CE19" s="47">
        <v>0</v>
      </c>
      <c r="CF19" s="48">
        <v>50000</v>
      </c>
      <c r="CG19" s="48" t="s">
        <v>84</v>
      </c>
      <c r="CH19" s="26"/>
      <c r="CI19" s="46">
        <v>20</v>
      </c>
      <c r="CJ19" s="47">
        <v>22</v>
      </c>
      <c r="CK19" s="56">
        <v>1.1000000000000001</v>
      </c>
      <c r="CL19" s="47">
        <v>18</v>
      </c>
      <c r="CM19" s="47">
        <v>16</v>
      </c>
      <c r="CN19" s="56">
        <v>0.88888888888888884</v>
      </c>
      <c r="CO19" s="57">
        <v>9</v>
      </c>
      <c r="CP19" s="58">
        <v>0</v>
      </c>
      <c r="CQ19" s="47">
        <v>360000</v>
      </c>
      <c r="CR19" s="48">
        <v>720000</v>
      </c>
      <c r="CS19" s="48" t="s">
        <v>84</v>
      </c>
      <c r="CT19" s="26"/>
      <c r="CU19" s="46">
        <v>367</v>
      </c>
      <c r="CV19" s="47">
        <v>124</v>
      </c>
      <c r="CW19" s="56">
        <v>-0.66212534059945505</v>
      </c>
      <c r="CX19" s="47">
        <v>91</v>
      </c>
      <c r="CY19" s="47">
        <v>41</v>
      </c>
      <c r="CZ19" s="56">
        <v>-0.5494505494505495</v>
      </c>
      <c r="DA19" s="56">
        <v>0.11267479114890555</v>
      </c>
      <c r="DB19" s="58" t="s">
        <v>153</v>
      </c>
      <c r="DC19" s="47">
        <v>0</v>
      </c>
      <c r="DD19" s="48">
        <v>200000</v>
      </c>
      <c r="DE19" s="48" t="s">
        <v>150</v>
      </c>
      <c r="DF19" s="26"/>
      <c r="DG19" s="47">
        <v>296</v>
      </c>
      <c r="DH19" s="109">
        <v>285</v>
      </c>
      <c r="DI19" s="58">
        <v>17</v>
      </c>
      <c r="DJ19" s="47">
        <v>26</v>
      </c>
      <c r="DK19" s="47">
        <v>32</v>
      </c>
      <c r="DL19" s="58">
        <v>41</v>
      </c>
      <c r="DM19" s="56"/>
      <c r="DN19" s="47">
        <v>224</v>
      </c>
      <c r="DO19" s="109">
        <v>198</v>
      </c>
      <c r="DP19" s="58">
        <v>31</v>
      </c>
      <c r="DQ19" s="47">
        <v>38</v>
      </c>
      <c r="DR19" s="47">
        <v>42</v>
      </c>
      <c r="DS19" s="58">
        <v>49</v>
      </c>
      <c r="DT19" s="58">
        <v>336</v>
      </c>
      <c r="DU19" s="58">
        <v>203</v>
      </c>
      <c r="DV19" s="56">
        <v>-0.39583333333333337</v>
      </c>
      <c r="DW19" s="58">
        <v>598500</v>
      </c>
      <c r="DX19" s="58">
        <v>684600</v>
      </c>
      <c r="DY19" s="47" t="s">
        <v>84</v>
      </c>
      <c r="DZ19" s="26"/>
      <c r="EA19" s="46">
        <v>3</v>
      </c>
      <c r="EB19" s="47">
        <v>3</v>
      </c>
      <c r="EC19" s="56">
        <v>1</v>
      </c>
      <c r="ED19" s="47">
        <v>75000</v>
      </c>
      <c r="EE19" s="48">
        <v>75000</v>
      </c>
      <c r="EF19" s="48" t="s">
        <v>201</v>
      </c>
    </row>
    <row r="20" spans="1:136" ht="20.25" customHeight="1" thickBot="1" x14ac:dyDescent="0.25">
      <c r="A20" s="1"/>
      <c r="B20" s="21" t="s">
        <v>105</v>
      </c>
      <c r="C20" s="21" t="s">
        <v>106</v>
      </c>
      <c r="D20" s="21" t="s">
        <v>159</v>
      </c>
      <c r="E20" s="45"/>
      <c r="F20" s="46">
        <v>540</v>
      </c>
      <c r="G20" s="47">
        <v>216</v>
      </c>
      <c r="H20" s="24">
        <v>177</v>
      </c>
      <c r="I20" s="47">
        <v>393</v>
      </c>
      <c r="J20" s="47">
        <v>147</v>
      </c>
      <c r="K20" s="47">
        <v>432000</v>
      </c>
      <c r="L20" s="48">
        <v>1080000</v>
      </c>
      <c r="M20" s="48" t="s">
        <v>84</v>
      </c>
      <c r="N20" s="26"/>
      <c r="O20" s="27">
        <v>1489</v>
      </c>
      <c r="P20" s="28">
        <v>1563</v>
      </c>
      <c r="Q20" s="28">
        <v>620</v>
      </c>
      <c r="R20" s="29">
        <v>943</v>
      </c>
      <c r="S20" s="27">
        <v>125</v>
      </c>
      <c r="T20" s="28">
        <v>110</v>
      </c>
      <c r="U20" s="30">
        <v>-0.12</v>
      </c>
      <c r="V20" s="27">
        <v>3516750</v>
      </c>
      <c r="W20" s="29">
        <v>1395000</v>
      </c>
      <c r="X20" s="29" t="s">
        <v>84</v>
      </c>
      <c r="Y20" s="26"/>
      <c r="Z20" s="49" t="s">
        <v>107</v>
      </c>
      <c r="AA20" s="32">
        <v>7</v>
      </c>
      <c r="AB20" s="49">
        <v>985</v>
      </c>
      <c r="AC20" s="50">
        <v>239</v>
      </c>
      <c r="AD20" s="51">
        <v>-0.75736040609137056</v>
      </c>
      <c r="AE20" s="49">
        <v>631</v>
      </c>
      <c r="AF20" s="50">
        <v>318</v>
      </c>
      <c r="AG20" s="51">
        <v>-0.49603803486529319</v>
      </c>
      <c r="AH20" s="49">
        <v>225</v>
      </c>
      <c r="AI20" s="33">
        <v>242</v>
      </c>
      <c r="AJ20" s="51">
        <v>7.5555555555555598E-2</v>
      </c>
      <c r="AK20" s="49">
        <v>313</v>
      </c>
      <c r="AL20" s="50">
        <v>205</v>
      </c>
      <c r="AM20" s="51">
        <v>-0.34504792332268375</v>
      </c>
      <c r="AN20" s="26"/>
      <c r="AO20" s="52">
        <v>1146</v>
      </c>
      <c r="AP20" s="53">
        <v>381</v>
      </c>
      <c r="AQ20" s="36">
        <v>765</v>
      </c>
      <c r="AR20" s="36">
        <v>788</v>
      </c>
      <c r="AS20" s="36">
        <v>811</v>
      </c>
      <c r="AT20" s="37">
        <v>846</v>
      </c>
      <c r="AU20" s="52">
        <v>80</v>
      </c>
      <c r="AV20" s="53">
        <v>100</v>
      </c>
      <c r="AW20" s="36">
        <v>79</v>
      </c>
      <c r="AX20" s="54">
        <v>21</v>
      </c>
      <c r="AY20" s="52">
        <v>479</v>
      </c>
      <c r="AZ20" s="53">
        <v>478</v>
      </c>
      <c r="BA20" s="55">
        <v>0.9979123173277662</v>
      </c>
      <c r="BB20" s="52">
        <v>1075500</v>
      </c>
      <c r="BC20" s="54">
        <v>1077750</v>
      </c>
      <c r="BD20" s="54" t="s">
        <v>86</v>
      </c>
      <c r="BE20" s="26"/>
      <c r="BF20" s="49">
        <v>540</v>
      </c>
      <c r="BG20" s="50">
        <v>505</v>
      </c>
      <c r="BH20" s="39">
        <v>0.93518518518518523</v>
      </c>
      <c r="BI20" s="50">
        <v>381</v>
      </c>
      <c r="BJ20" s="39">
        <v>0.7055555555555556</v>
      </c>
      <c r="BK20" s="33" t="s">
        <v>87</v>
      </c>
      <c r="BL20" s="31">
        <v>1</v>
      </c>
      <c r="BM20" s="50">
        <v>2</v>
      </c>
      <c r="BN20" s="32">
        <v>80000</v>
      </c>
      <c r="BO20" s="31">
        <v>2</v>
      </c>
      <c r="BP20" s="33">
        <v>0</v>
      </c>
      <c r="BQ20" s="32">
        <v>0</v>
      </c>
      <c r="BR20" s="31">
        <v>23</v>
      </c>
      <c r="BS20" s="33">
        <v>21</v>
      </c>
      <c r="BT20" s="32">
        <v>157500</v>
      </c>
      <c r="BU20" s="31">
        <v>1</v>
      </c>
      <c r="BV20" s="33">
        <v>1</v>
      </c>
      <c r="BW20" s="32">
        <v>15000</v>
      </c>
      <c r="BX20" s="40">
        <v>252500</v>
      </c>
      <c r="BY20" s="41">
        <v>337500</v>
      </c>
      <c r="BZ20" s="41" t="s">
        <v>84</v>
      </c>
      <c r="CA20" s="26"/>
      <c r="CB20" s="46">
        <v>1</v>
      </c>
      <c r="CC20" s="47">
        <v>2</v>
      </c>
      <c r="CD20" s="47">
        <v>2</v>
      </c>
      <c r="CE20" s="47">
        <v>100000</v>
      </c>
      <c r="CF20" s="48">
        <v>50000</v>
      </c>
      <c r="CG20" s="48" t="s">
        <v>84</v>
      </c>
      <c r="CH20" s="26"/>
      <c r="CI20" s="46">
        <v>98</v>
      </c>
      <c r="CJ20" s="47">
        <v>89</v>
      </c>
      <c r="CK20" s="56">
        <v>0.90816326530612246</v>
      </c>
      <c r="CL20" s="47">
        <v>88</v>
      </c>
      <c r="CM20" s="47">
        <v>92</v>
      </c>
      <c r="CN20" s="56">
        <v>1.0454545454545454</v>
      </c>
      <c r="CO20" s="57">
        <v>23</v>
      </c>
      <c r="CP20" s="58">
        <v>5</v>
      </c>
      <c r="CQ20" s="47">
        <v>1070000</v>
      </c>
      <c r="CR20" s="48">
        <v>3520000</v>
      </c>
      <c r="CS20" s="48" t="s">
        <v>84</v>
      </c>
      <c r="CT20" s="26"/>
      <c r="CU20" s="46">
        <v>1130</v>
      </c>
      <c r="CV20" s="47">
        <v>372</v>
      </c>
      <c r="CW20" s="56">
        <v>-0.67079646017699113</v>
      </c>
      <c r="CX20" s="47">
        <v>464</v>
      </c>
      <c r="CY20" s="47">
        <v>160</v>
      </c>
      <c r="CZ20" s="56">
        <v>-0.65517241379310343</v>
      </c>
      <c r="DA20" s="56">
        <v>1.5624046383887702E-2</v>
      </c>
      <c r="DB20" s="58" t="s">
        <v>87</v>
      </c>
      <c r="DC20" s="47">
        <v>0</v>
      </c>
      <c r="DD20" s="48">
        <v>940000</v>
      </c>
      <c r="DE20" s="48" t="s">
        <v>150</v>
      </c>
      <c r="DF20" s="26"/>
      <c r="DG20" s="47">
        <v>409</v>
      </c>
      <c r="DH20" s="109">
        <v>448</v>
      </c>
      <c r="DI20" s="58">
        <v>-30</v>
      </c>
      <c r="DJ20" s="47">
        <v>-18</v>
      </c>
      <c r="DK20" s="47">
        <v>-10</v>
      </c>
      <c r="DL20" s="58">
        <v>2</v>
      </c>
      <c r="DM20" s="56"/>
      <c r="DN20" s="47">
        <v>257</v>
      </c>
      <c r="DO20" s="109">
        <v>249</v>
      </c>
      <c r="DP20" s="58">
        <v>14</v>
      </c>
      <c r="DQ20" s="47">
        <v>21</v>
      </c>
      <c r="DR20" s="47">
        <v>26</v>
      </c>
      <c r="DS20" s="58">
        <v>34</v>
      </c>
      <c r="DT20" s="58">
        <v>989</v>
      </c>
      <c r="DU20" s="58">
        <v>620</v>
      </c>
      <c r="DV20" s="56">
        <v>-0.37310414560161775</v>
      </c>
      <c r="DW20" s="58">
        <v>940800</v>
      </c>
      <c r="DX20" s="58">
        <v>945000</v>
      </c>
      <c r="DY20" s="47" t="s">
        <v>84</v>
      </c>
      <c r="DZ20" s="26"/>
      <c r="EA20" s="46">
        <v>15</v>
      </c>
      <c r="EB20" s="47">
        <v>8</v>
      </c>
      <c r="EC20" s="56">
        <v>0.53333333333333333</v>
      </c>
      <c r="ED20" s="47">
        <v>200000</v>
      </c>
      <c r="EE20" s="48">
        <v>375000</v>
      </c>
      <c r="EF20" s="48" t="s">
        <v>84</v>
      </c>
    </row>
    <row r="21" spans="1:136" ht="20.25" customHeight="1" thickBot="1" x14ac:dyDescent="0.25">
      <c r="A21" s="1"/>
      <c r="B21" s="21" t="s">
        <v>108</v>
      </c>
      <c r="C21" s="21" t="s">
        <v>109</v>
      </c>
      <c r="D21" s="21" t="s">
        <v>177</v>
      </c>
      <c r="E21" s="45"/>
      <c r="F21" s="46">
        <v>350</v>
      </c>
      <c r="G21" s="47">
        <v>142</v>
      </c>
      <c r="H21" s="24">
        <v>78</v>
      </c>
      <c r="I21" s="47">
        <v>220</v>
      </c>
      <c r="J21" s="47">
        <v>130</v>
      </c>
      <c r="K21" s="47">
        <v>284000</v>
      </c>
      <c r="L21" s="48">
        <v>700000</v>
      </c>
      <c r="M21" s="48" t="s">
        <v>84</v>
      </c>
      <c r="N21" s="26"/>
      <c r="O21" s="27">
        <v>923</v>
      </c>
      <c r="P21" s="28">
        <v>969</v>
      </c>
      <c r="Q21" s="28">
        <v>377</v>
      </c>
      <c r="R21" s="29">
        <v>592</v>
      </c>
      <c r="S21" s="27">
        <v>98</v>
      </c>
      <c r="T21" s="28">
        <v>100</v>
      </c>
      <c r="U21" s="30">
        <v>2.0408163265306145E-2</v>
      </c>
      <c r="V21" s="27">
        <v>2180250</v>
      </c>
      <c r="W21" s="29">
        <v>848250</v>
      </c>
      <c r="X21" s="29" t="s">
        <v>84</v>
      </c>
      <c r="Y21" s="26"/>
      <c r="Z21" s="49" t="s">
        <v>107</v>
      </c>
      <c r="AA21" s="32">
        <v>6</v>
      </c>
      <c r="AB21" s="49">
        <v>649</v>
      </c>
      <c r="AC21" s="50">
        <v>159</v>
      </c>
      <c r="AD21" s="51">
        <v>-0.75500770416024654</v>
      </c>
      <c r="AE21" s="49">
        <v>480</v>
      </c>
      <c r="AF21" s="50">
        <v>239</v>
      </c>
      <c r="AG21" s="51">
        <v>-0.50208333333333333</v>
      </c>
      <c r="AH21" s="49">
        <v>163</v>
      </c>
      <c r="AI21" s="33">
        <v>170</v>
      </c>
      <c r="AJ21" s="51">
        <v>4.2944785276073594E-2</v>
      </c>
      <c r="AK21" s="49">
        <v>209</v>
      </c>
      <c r="AL21" s="50">
        <v>139</v>
      </c>
      <c r="AM21" s="51">
        <v>-0.33492822966507174</v>
      </c>
      <c r="AN21" s="26"/>
      <c r="AO21" s="52">
        <v>680</v>
      </c>
      <c r="AP21" s="53">
        <v>218</v>
      </c>
      <c r="AQ21" s="36">
        <v>462</v>
      </c>
      <c r="AR21" s="36">
        <v>476</v>
      </c>
      <c r="AS21" s="36">
        <v>490</v>
      </c>
      <c r="AT21" s="37">
        <v>510</v>
      </c>
      <c r="AU21" s="52">
        <v>34</v>
      </c>
      <c r="AV21" s="53">
        <v>43</v>
      </c>
      <c r="AW21" s="36">
        <v>28</v>
      </c>
      <c r="AX21" s="54">
        <v>15</v>
      </c>
      <c r="AY21" s="52">
        <v>267</v>
      </c>
      <c r="AZ21" s="53">
        <v>264</v>
      </c>
      <c r="BA21" s="55">
        <v>0.9887640449438202</v>
      </c>
      <c r="BB21" s="52">
        <v>594000</v>
      </c>
      <c r="BC21" s="54">
        <v>600750</v>
      </c>
      <c r="BD21" s="54" t="s">
        <v>86</v>
      </c>
      <c r="BE21" s="26"/>
      <c r="BF21" s="49">
        <v>325</v>
      </c>
      <c r="BG21" s="50">
        <v>273</v>
      </c>
      <c r="BH21" s="39">
        <v>0.84</v>
      </c>
      <c r="BI21" s="50">
        <v>218</v>
      </c>
      <c r="BJ21" s="39">
        <v>0.67076923076923078</v>
      </c>
      <c r="BK21" s="33" t="s">
        <v>87</v>
      </c>
      <c r="BL21" s="31">
        <v>1</v>
      </c>
      <c r="BM21" s="50">
        <v>1</v>
      </c>
      <c r="BN21" s="32">
        <v>40000</v>
      </c>
      <c r="BO21" s="31">
        <v>2</v>
      </c>
      <c r="BP21" s="33">
        <v>0</v>
      </c>
      <c r="BQ21" s="32">
        <v>0</v>
      </c>
      <c r="BR21" s="31">
        <v>14</v>
      </c>
      <c r="BS21" s="33">
        <v>11</v>
      </c>
      <c r="BT21" s="32">
        <v>82500</v>
      </c>
      <c r="BU21" s="31">
        <v>1</v>
      </c>
      <c r="BV21" s="33">
        <v>0</v>
      </c>
      <c r="BW21" s="32">
        <v>0</v>
      </c>
      <c r="BX21" s="40">
        <v>122500</v>
      </c>
      <c r="BY21" s="41">
        <v>270000</v>
      </c>
      <c r="BZ21" s="41" t="s">
        <v>84</v>
      </c>
      <c r="CA21" s="26"/>
      <c r="CB21" s="46">
        <v>1</v>
      </c>
      <c r="CC21" s="47">
        <v>1</v>
      </c>
      <c r="CD21" s="47">
        <v>1</v>
      </c>
      <c r="CE21" s="47">
        <v>50000</v>
      </c>
      <c r="CF21" s="48">
        <v>50000</v>
      </c>
      <c r="CG21" s="48" t="s">
        <v>201</v>
      </c>
      <c r="CH21" s="26"/>
      <c r="CI21" s="46">
        <v>46</v>
      </c>
      <c r="CJ21" s="47">
        <v>28</v>
      </c>
      <c r="CK21" s="56">
        <v>0.60869565217391308</v>
      </c>
      <c r="CL21" s="47">
        <v>45</v>
      </c>
      <c r="CM21" s="47">
        <v>41</v>
      </c>
      <c r="CN21" s="56">
        <v>0.91111111111111109</v>
      </c>
      <c r="CO21" s="57">
        <v>9</v>
      </c>
      <c r="CP21" s="58">
        <v>2</v>
      </c>
      <c r="CQ21" s="47">
        <v>420000</v>
      </c>
      <c r="CR21" s="48">
        <v>1800000</v>
      </c>
      <c r="CS21" s="48" t="s">
        <v>84</v>
      </c>
      <c r="CT21" s="26"/>
      <c r="CU21" s="46">
        <v>664</v>
      </c>
      <c r="CV21" s="47">
        <v>221</v>
      </c>
      <c r="CW21" s="56">
        <v>-0.66716867469879526</v>
      </c>
      <c r="CX21" s="47">
        <v>289</v>
      </c>
      <c r="CY21" s="47">
        <v>99</v>
      </c>
      <c r="CZ21" s="56">
        <v>-0.65743944636678209</v>
      </c>
      <c r="DA21" s="56">
        <v>9.7292283320131734E-3</v>
      </c>
      <c r="DB21" s="58" t="s">
        <v>87</v>
      </c>
      <c r="DC21" s="47">
        <v>0</v>
      </c>
      <c r="DD21" s="48">
        <v>580000</v>
      </c>
      <c r="DE21" s="48" t="s">
        <v>150</v>
      </c>
      <c r="DF21" s="26"/>
      <c r="DG21" s="47">
        <v>301</v>
      </c>
      <c r="DH21" s="109">
        <v>216</v>
      </c>
      <c r="DI21" s="58">
        <v>92</v>
      </c>
      <c r="DJ21" s="47">
        <v>101</v>
      </c>
      <c r="DK21" s="47">
        <v>107</v>
      </c>
      <c r="DL21" s="58">
        <v>116</v>
      </c>
      <c r="DM21" s="56"/>
      <c r="DN21" s="47">
        <v>230</v>
      </c>
      <c r="DO21" s="109">
        <v>152</v>
      </c>
      <c r="DP21" s="58">
        <v>83</v>
      </c>
      <c r="DQ21" s="47">
        <v>90</v>
      </c>
      <c r="DR21" s="47">
        <v>95</v>
      </c>
      <c r="DS21" s="58">
        <v>101</v>
      </c>
      <c r="DT21" s="58">
        <v>655</v>
      </c>
      <c r="DU21" s="58">
        <v>377</v>
      </c>
      <c r="DV21" s="56">
        <v>-0.42442748091603055</v>
      </c>
      <c r="DW21" s="58">
        <v>453600</v>
      </c>
      <c r="DX21" s="58">
        <v>697200</v>
      </c>
      <c r="DY21" s="47" t="s">
        <v>84</v>
      </c>
      <c r="DZ21" s="26"/>
      <c r="EA21" s="46">
        <v>13</v>
      </c>
      <c r="EB21" s="47">
        <v>2</v>
      </c>
      <c r="EC21" s="56">
        <v>0.15384615384615385</v>
      </c>
      <c r="ED21" s="47">
        <v>50000</v>
      </c>
      <c r="EE21" s="48">
        <v>325000</v>
      </c>
      <c r="EF21" s="48" t="s">
        <v>84</v>
      </c>
    </row>
    <row r="22" spans="1:136" ht="20.25" customHeight="1" thickBot="1" x14ac:dyDescent="0.25">
      <c r="A22" s="1"/>
      <c r="B22" s="21" t="s">
        <v>110</v>
      </c>
      <c r="C22" s="21" t="s">
        <v>111</v>
      </c>
      <c r="D22" s="21" t="s">
        <v>160</v>
      </c>
      <c r="E22" s="45"/>
      <c r="F22" s="46">
        <v>300</v>
      </c>
      <c r="G22" s="47">
        <v>159</v>
      </c>
      <c r="H22" s="24">
        <v>57</v>
      </c>
      <c r="I22" s="47">
        <v>216</v>
      </c>
      <c r="J22" s="47">
        <v>84</v>
      </c>
      <c r="K22" s="47">
        <v>318000</v>
      </c>
      <c r="L22" s="48">
        <v>600000</v>
      </c>
      <c r="M22" s="48" t="s">
        <v>84</v>
      </c>
      <c r="N22" s="26"/>
      <c r="O22" s="27">
        <v>542</v>
      </c>
      <c r="P22" s="28">
        <v>569</v>
      </c>
      <c r="Q22" s="28">
        <v>344</v>
      </c>
      <c r="R22" s="29">
        <v>225</v>
      </c>
      <c r="S22" s="27">
        <v>78</v>
      </c>
      <c r="T22" s="28">
        <v>47</v>
      </c>
      <c r="U22" s="30">
        <v>-0.39743589743589747</v>
      </c>
      <c r="V22" s="27">
        <v>1280250</v>
      </c>
      <c r="W22" s="29">
        <v>774000</v>
      </c>
      <c r="X22" s="29" t="s">
        <v>84</v>
      </c>
      <c r="Y22" s="26"/>
      <c r="Z22" s="49" t="s">
        <v>100</v>
      </c>
      <c r="AA22" s="32">
        <v>15</v>
      </c>
      <c r="AB22" s="49">
        <v>485</v>
      </c>
      <c r="AC22" s="50">
        <v>132</v>
      </c>
      <c r="AD22" s="51">
        <v>-0.72783505154639183</v>
      </c>
      <c r="AE22" s="49">
        <v>294</v>
      </c>
      <c r="AF22" s="50">
        <v>137</v>
      </c>
      <c r="AG22" s="51">
        <v>-0.53401360544217691</v>
      </c>
      <c r="AH22" s="49">
        <v>148</v>
      </c>
      <c r="AI22" s="33">
        <v>140</v>
      </c>
      <c r="AJ22" s="51">
        <v>-5.4054054054054057E-2</v>
      </c>
      <c r="AK22" s="49">
        <v>140</v>
      </c>
      <c r="AL22" s="50">
        <v>90</v>
      </c>
      <c r="AM22" s="51">
        <v>-0.3571428571428571</v>
      </c>
      <c r="AN22" s="26"/>
      <c r="AO22" s="52">
        <v>384</v>
      </c>
      <c r="AP22" s="53">
        <v>212</v>
      </c>
      <c r="AQ22" s="36">
        <v>172</v>
      </c>
      <c r="AR22" s="36">
        <v>180</v>
      </c>
      <c r="AS22" s="36">
        <v>188</v>
      </c>
      <c r="AT22" s="37">
        <v>199</v>
      </c>
      <c r="AU22" s="52">
        <v>15</v>
      </c>
      <c r="AV22" s="53">
        <v>19</v>
      </c>
      <c r="AW22" s="36">
        <v>30</v>
      </c>
      <c r="AX22" s="54">
        <v>-11</v>
      </c>
      <c r="AY22" s="52">
        <v>248</v>
      </c>
      <c r="AZ22" s="53">
        <v>244</v>
      </c>
      <c r="BA22" s="55">
        <v>0.9838709677419355</v>
      </c>
      <c r="BB22" s="52">
        <v>549000</v>
      </c>
      <c r="BC22" s="54">
        <v>558000</v>
      </c>
      <c r="BD22" s="54" t="s">
        <v>86</v>
      </c>
      <c r="BE22" s="26"/>
      <c r="BF22" s="49">
        <v>355</v>
      </c>
      <c r="BG22" s="50">
        <v>247</v>
      </c>
      <c r="BH22" s="39">
        <v>0.6957746478873239</v>
      </c>
      <c r="BI22" s="50">
        <v>212</v>
      </c>
      <c r="BJ22" s="39">
        <v>0.59718309859154928</v>
      </c>
      <c r="BK22" s="33" t="s">
        <v>87</v>
      </c>
      <c r="BL22" s="31">
        <v>1</v>
      </c>
      <c r="BM22" s="50">
        <v>2</v>
      </c>
      <c r="BN22" s="32">
        <v>80000</v>
      </c>
      <c r="BO22" s="31">
        <v>2</v>
      </c>
      <c r="BP22" s="33">
        <v>0</v>
      </c>
      <c r="BQ22" s="32">
        <v>0</v>
      </c>
      <c r="BR22" s="31">
        <v>14</v>
      </c>
      <c r="BS22" s="33">
        <v>10</v>
      </c>
      <c r="BT22" s="32">
        <v>75000</v>
      </c>
      <c r="BU22" s="31">
        <v>1</v>
      </c>
      <c r="BV22" s="33">
        <v>0</v>
      </c>
      <c r="BW22" s="32">
        <v>0</v>
      </c>
      <c r="BX22" s="40">
        <v>155000</v>
      </c>
      <c r="BY22" s="41">
        <v>270000</v>
      </c>
      <c r="BZ22" s="41" t="s">
        <v>84</v>
      </c>
      <c r="CA22" s="26"/>
      <c r="CB22" s="46">
        <v>1</v>
      </c>
      <c r="CC22" s="47">
        <v>2</v>
      </c>
      <c r="CD22" s="47">
        <v>2</v>
      </c>
      <c r="CE22" s="47">
        <v>100000</v>
      </c>
      <c r="CF22" s="48">
        <v>50000</v>
      </c>
      <c r="CG22" s="48" t="s">
        <v>84</v>
      </c>
      <c r="CH22" s="26"/>
      <c r="CI22" s="46">
        <v>42</v>
      </c>
      <c r="CJ22" s="47">
        <v>28</v>
      </c>
      <c r="CK22" s="56">
        <v>0.66666666666666663</v>
      </c>
      <c r="CL22" s="47">
        <v>25</v>
      </c>
      <c r="CM22" s="47">
        <v>32</v>
      </c>
      <c r="CN22" s="56">
        <v>1.28</v>
      </c>
      <c r="CO22" s="57">
        <v>7</v>
      </c>
      <c r="CP22" s="58">
        <v>4</v>
      </c>
      <c r="CQ22" s="47">
        <v>400000</v>
      </c>
      <c r="CR22" s="48">
        <v>1000000</v>
      </c>
      <c r="CS22" s="48" t="s">
        <v>84</v>
      </c>
      <c r="CT22" s="26"/>
      <c r="CU22" s="46">
        <v>378</v>
      </c>
      <c r="CV22" s="47">
        <v>209</v>
      </c>
      <c r="CW22" s="56">
        <v>-0.44708994708994709</v>
      </c>
      <c r="CX22" s="47">
        <v>142</v>
      </c>
      <c r="CY22" s="47">
        <v>78</v>
      </c>
      <c r="CZ22" s="56">
        <v>-0.45070422535211263</v>
      </c>
      <c r="DA22" s="56">
        <v>-3.6142782621655378E-3</v>
      </c>
      <c r="DB22" s="58" t="s">
        <v>87</v>
      </c>
      <c r="DC22" s="47">
        <v>0</v>
      </c>
      <c r="DD22" s="48">
        <v>300000</v>
      </c>
      <c r="DE22" s="48" t="s">
        <v>150</v>
      </c>
      <c r="DF22" s="26"/>
      <c r="DG22" s="47">
        <v>242</v>
      </c>
      <c r="DH22" s="109">
        <v>224</v>
      </c>
      <c r="DI22" s="58">
        <v>23</v>
      </c>
      <c r="DJ22" s="47">
        <v>31</v>
      </c>
      <c r="DK22" s="47">
        <v>35</v>
      </c>
      <c r="DL22" s="58">
        <v>43</v>
      </c>
      <c r="DM22" s="56"/>
      <c r="DN22" s="47">
        <v>142</v>
      </c>
      <c r="DO22" s="109">
        <v>102</v>
      </c>
      <c r="DP22" s="58">
        <v>43</v>
      </c>
      <c r="DQ22" s="47">
        <v>48</v>
      </c>
      <c r="DR22" s="47">
        <v>50</v>
      </c>
      <c r="DS22" s="58">
        <v>55</v>
      </c>
      <c r="DT22" s="58">
        <v>486</v>
      </c>
      <c r="DU22" s="58">
        <v>344</v>
      </c>
      <c r="DV22" s="56">
        <v>-0.29218106995884774</v>
      </c>
      <c r="DW22" s="58">
        <v>470400</v>
      </c>
      <c r="DX22" s="58">
        <v>560700</v>
      </c>
      <c r="DY22" s="47" t="s">
        <v>84</v>
      </c>
      <c r="DZ22" s="26"/>
      <c r="EA22" s="46">
        <v>7</v>
      </c>
      <c r="EB22" s="47">
        <v>3</v>
      </c>
      <c r="EC22" s="56">
        <v>0.42857142857142855</v>
      </c>
      <c r="ED22" s="47">
        <v>75000</v>
      </c>
      <c r="EE22" s="48">
        <v>175000</v>
      </c>
      <c r="EF22" s="48" t="s">
        <v>84</v>
      </c>
    </row>
    <row r="23" spans="1:136" ht="20.25" customHeight="1" thickBot="1" x14ac:dyDescent="0.25">
      <c r="A23" s="1"/>
      <c r="B23" s="21" t="s">
        <v>112</v>
      </c>
      <c r="C23" s="21" t="s">
        <v>113</v>
      </c>
      <c r="D23" s="21" t="s">
        <v>161</v>
      </c>
      <c r="E23" s="45"/>
      <c r="F23" s="46">
        <v>315</v>
      </c>
      <c r="G23" s="47">
        <v>196</v>
      </c>
      <c r="H23" s="24">
        <v>31</v>
      </c>
      <c r="I23" s="47">
        <v>227</v>
      </c>
      <c r="J23" s="47">
        <v>88</v>
      </c>
      <c r="K23" s="47">
        <v>392000</v>
      </c>
      <c r="L23" s="48">
        <v>630000</v>
      </c>
      <c r="M23" s="48" t="s">
        <v>84</v>
      </c>
      <c r="N23" s="26"/>
      <c r="O23" s="27">
        <v>949</v>
      </c>
      <c r="P23" s="28">
        <v>996</v>
      </c>
      <c r="Q23" s="28">
        <v>336</v>
      </c>
      <c r="R23" s="29">
        <v>660</v>
      </c>
      <c r="S23" s="27">
        <v>80</v>
      </c>
      <c r="T23" s="28">
        <v>56</v>
      </c>
      <c r="U23" s="30">
        <v>-0.30000000000000004</v>
      </c>
      <c r="V23" s="27">
        <v>2241000</v>
      </c>
      <c r="W23" s="29">
        <v>756000</v>
      </c>
      <c r="X23" s="29" t="s">
        <v>84</v>
      </c>
      <c r="Y23" s="26"/>
      <c r="Z23" s="49" t="s">
        <v>85</v>
      </c>
      <c r="AA23" s="32">
        <v>4</v>
      </c>
      <c r="AB23" s="49">
        <v>653</v>
      </c>
      <c r="AC23" s="50">
        <v>121</v>
      </c>
      <c r="AD23" s="51">
        <v>-0.81470137825421129</v>
      </c>
      <c r="AE23" s="49">
        <v>493</v>
      </c>
      <c r="AF23" s="50">
        <v>188</v>
      </c>
      <c r="AG23" s="51">
        <v>-0.61866125760649093</v>
      </c>
      <c r="AH23" s="49">
        <v>129</v>
      </c>
      <c r="AI23" s="33">
        <v>124</v>
      </c>
      <c r="AJ23" s="51">
        <v>-3.8759689922480578E-2</v>
      </c>
      <c r="AK23" s="49">
        <v>223</v>
      </c>
      <c r="AL23" s="50">
        <v>132</v>
      </c>
      <c r="AM23" s="51">
        <v>-0.40807174887892372</v>
      </c>
      <c r="AN23" s="26"/>
      <c r="AO23" s="52">
        <v>719</v>
      </c>
      <c r="AP23" s="53">
        <v>215</v>
      </c>
      <c r="AQ23" s="36">
        <v>504</v>
      </c>
      <c r="AR23" s="36">
        <v>519</v>
      </c>
      <c r="AS23" s="36">
        <v>533</v>
      </c>
      <c r="AT23" s="37">
        <v>555</v>
      </c>
      <c r="AU23" s="52">
        <v>42</v>
      </c>
      <c r="AV23" s="53">
        <v>53</v>
      </c>
      <c r="AW23" s="36">
        <v>33</v>
      </c>
      <c r="AX23" s="54">
        <v>20</v>
      </c>
      <c r="AY23" s="52">
        <v>295</v>
      </c>
      <c r="AZ23" s="53">
        <v>289</v>
      </c>
      <c r="BA23" s="55">
        <v>0.97966101694915253</v>
      </c>
      <c r="BB23" s="52">
        <v>650250</v>
      </c>
      <c r="BC23" s="54">
        <v>663750</v>
      </c>
      <c r="BD23" s="54" t="s">
        <v>86</v>
      </c>
      <c r="BE23" s="26"/>
      <c r="BF23" s="49">
        <v>355</v>
      </c>
      <c r="BG23" s="50">
        <v>298</v>
      </c>
      <c r="BH23" s="39">
        <v>0.83943661971830985</v>
      </c>
      <c r="BI23" s="50">
        <v>215</v>
      </c>
      <c r="BJ23" s="39">
        <v>0.60563380281690138</v>
      </c>
      <c r="BK23" s="33" t="s">
        <v>87</v>
      </c>
      <c r="BL23" s="31">
        <v>1</v>
      </c>
      <c r="BM23" s="50">
        <v>2</v>
      </c>
      <c r="BN23" s="32">
        <v>80000</v>
      </c>
      <c r="BO23" s="31">
        <v>2</v>
      </c>
      <c r="BP23" s="33">
        <v>1</v>
      </c>
      <c r="BQ23" s="32">
        <v>55000</v>
      </c>
      <c r="BR23" s="31">
        <v>17</v>
      </c>
      <c r="BS23" s="33">
        <v>6</v>
      </c>
      <c r="BT23" s="32">
        <v>45000</v>
      </c>
      <c r="BU23" s="31">
        <v>1</v>
      </c>
      <c r="BV23" s="33">
        <v>3</v>
      </c>
      <c r="BW23" s="32">
        <v>45000</v>
      </c>
      <c r="BX23" s="40">
        <v>225000</v>
      </c>
      <c r="BY23" s="41">
        <v>292500</v>
      </c>
      <c r="BZ23" s="41" t="s">
        <v>84</v>
      </c>
      <c r="CA23" s="26"/>
      <c r="CB23" s="46">
        <v>1</v>
      </c>
      <c r="CC23" s="47">
        <v>2</v>
      </c>
      <c r="CD23" s="47">
        <v>2</v>
      </c>
      <c r="CE23" s="47">
        <v>100000</v>
      </c>
      <c r="CF23" s="48">
        <v>50000</v>
      </c>
      <c r="CG23" s="48" t="s">
        <v>84</v>
      </c>
      <c r="CH23" s="26"/>
      <c r="CI23" s="46">
        <v>37</v>
      </c>
      <c r="CJ23" s="47">
        <v>25</v>
      </c>
      <c r="CK23" s="56">
        <v>0.67567567567567566</v>
      </c>
      <c r="CL23" s="47">
        <v>34</v>
      </c>
      <c r="CM23" s="47">
        <v>32</v>
      </c>
      <c r="CN23" s="56">
        <v>0.94117647058823528</v>
      </c>
      <c r="CO23" s="57">
        <v>11</v>
      </c>
      <c r="CP23" s="58">
        <v>1</v>
      </c>
      <c r="CQ23" s="47">
        <v>470000</v>
      </c>
      <c r="CR23" s="48">
        <v>1360000</v>
      </c>
      <c r="CS23" s="48" t="s">
        <v>84</v>
      </c>
      <c r="CT23" s="26"/>
      <c r="CU23" s="46">
        <v>685</v>
      </c>
      <c r="CV23" s="47">
        <v>207</v>
      </c>
      <c r="CW23" s="56">
        <v>-0.69781021897810214</v>
      </c>
      <c r="CX23" s="47">
        <v>231</v>
      </c>
      <c r="CY23" s="47">
        <v>89</v>
      </c>
      <c r="CZ23" s="56">
        <v>-0.61471861471861478</v>
      </c>
      <c r="DA23" s="56">
        <v>8.3091604259487362E-2</v>
      </c>
      <c r="DB23" s="58" t="s">
        <v>153</v>
      </c>
      <c r="DC23" s="47">
        <v>0</v>
      </c>
      <c r="DD23" s="48">
        <v>480000</v>
      </c>
      <c r="DE23" s="48" t="s">
        <v>150</v>
      </c>
      <c r="DF23" s="26"/>
      <c r="DG23" s="47">
        <v>263</v>
      </c>
      <c r="DH23" s="109">
        <v>203</v>
      </c>
      <c r="DI23" s="58">
        <v>66</v>
      </c>
      <c r="DJ23" s="47">
        <v>74</v>
      </c>
      <c r="DK23" s="47">
        <v>79</v>
      </c>
      <c r="DL23" s="58">
        <v>87</v>
      </c>
      <c r="DM23" s="56"/>
      <c r="DN23" s="47">
        <v>188</v>
      </c>
      <c r="DO23" s="109">
        <v>124</v>
      </c>
      <c r="DP23" s="58">
        <v>68</v>
      </c>
      <c r="DQ23" s="47">
        <v>74</v>
      </c>
      <c r="DR23" s="47">
        <v>78</v>
      </c>
      <c r="DS23" s="58">
        <v>83</v>
      </c>
      <c r="DT23" s="58">
        <v>677</v>
      </c>
      <c r="DU23" s="58">
        <v>336</v>
      </c>
      <c r="DV23" s="56">
        <v>-0.50369276218611514</v>
      </c>
      <c r="DW23" s="58">
        <v>426300</v>
      </c>
      <c r="DX23" s="58">
        <v>609000</v>
      </c>
      <c r="DY23" s="47" t="s">
        <v>84</v>
      </c>
      <c r="DZ23" s="26"/>
      <c r="EA23" s="46">
        <v>9</v>
      </c>
      <c r="EB23" s="47">
        <v>7</v>
      </c>
      <c r="EC23" s="56">
        <v>0.77777777777777779</v>
      </c>
      <c r="ED23" s="47">
        <v>175000</v>
      </c>
      <c r="EE23" s="48">
        <v>225000</v>
      </c>
      <c r="EF23" s="48" t="s">
        <v>84</v>
      </c>
    </row>
    <row r="24" spans="1:136" ht="20.25" customHeight="1" thickBot="1" x14ac:dyDescent="0.25">
      <c r="A24" s="1"/>
      <c r="B24" s="21" t="s">
        <v>114</v>
      </c>
      <c r="C24" s="21" t="s">
        <v>115</v>
      </c>
      <c r="D24" s="21" t="s">
        <v>162</v>
      </c>
      <c r="E24" s="45"/>
      <c r="F24" s="46">
        <v>275</v>
      </c>
      <c r="G24" s="47">
        <v>78</v>
      </c>
      <c r="H24" s="24">
        <v>86</v>
      </c>
      <c r="I24" s="47">
        <v>164</v>
      </c>
      <c r="J24" s="47">
        <v>111</v>
      </c>
      <c r="K24" s="47">
        <v>156000</v>
      </c>
      <c r="L24" s="48">
        <v>550000</v>
      </c>
      <c r="M24" s="48" t="s">
        <v>84</v>
      </c>
      <c r="N24" s="26"/>
      <c r="O24" s="27">
        <v>851</v>
      </c>
      <c r="P24" s="28">
        <v>894</v>
      </c>
      <c r="Q24" s="28">
        <v>282</v>
      </c>
      <c r="R24" s="29">
        <v>612</v>
      </c>
      <c r="S24" s="27">
        <v>55</v>
      </c>
      <c r="T24" s="28">
        <v>62</v>
      </c>
      <c r="U24" s="30">
        <v>0.1272727272727272</v>
      </c>
      <c r="V24" s="27">
        <v>2011500</v>
      </c>
      <c r="W24" s="29">
        <v>634500</v>
      </c>
      <c r="X24" s="29" t="s">
        <v>84</v>
      </c>
      <c r="Y24" s="26"/>
      <c r="Z24" s="49" t="s">
        <v>107</v>
      </c>
      <c r="AA24" s="32">
        <v>3</v>
      </c>
      <c r="AB24" s="49">
        <v>645</v>
      </c>
      <c r="AC24" s="50">
        <v>139</v>
      </c>
      <c r="AD24" s="51">
        <v>-0.78449612403100777</v>
      </c>
      <c r="AE24" s="49">
        <v>442</v>
      </c>
      <c r="AF24" s="50">
        <v>162</v>
      </c>
      <c r="AG24" s="51">
        <v>-0.63348416289592757</v>
      </c>
      <c r="AH24" s="49">
        <v>103</v>
      </c>
      <c r="AI24" s="33">
        <v>148</v>
      </c>
      <c r="AJ24" s="51">
        <v>0.43689320388349517</v>
      </c>
      <c r="AK24" s="49">
        <v>199</v>
      </c>
      <c r="AL24" s="50">
        <v>88</v>
      </c>
      <c r="AM24" s="51">
        <v>-0.55778894472361806</v>
      </c>
      <c r="AN24" s="26"/>
      <c r="AO24" s="52">
        <v>643</v>
      </c>
      <c r="AP24" s="53">
        <v>143</v>
      </c>
      <c r="AQ24" s="36">
        <v>500</v>
      </c>
      <c r="AR24" s="36">
        <v>513</v>
      </c>
      <c r="AS24" s="36">
        <v>526</v>
      </c>
      <c r="AT24" s="37">
        <v>546</v>
      </c>
      <c r="AU24" s="52">
        <v>46</v>
      </c>
      <c r="AV24" s="53">
        <v>58</v>
      </c>
      <c r="AW24" s="36">
        <v>27</v>
      </c>
      <c r="AX24" s="54">
        <v>31</v>
      </c>
      <c r="AY24" s="52">
        <v>212</v>
      </c>
      <c r="AZ24" s="53">
        <v>209</v>
      </c>
      <c r="BA24" s="55">
        <v>0.98584905660377353</v>
      </c>
      <c r="BB24" s="52">
        <v>470250</v>
      </c>
      <c r="BC24" s="54">
        <v>477000</v>
      </c>
      <c r="BD24" s="54" t="s">
        <v>86</v>
      </c>
      <c r="BE24" s="26"/>
      <c r="BF24" s="49">
        <v>275</v>
      </c>
      <c r="BG24" s="50">
        <v>214</v>
      </c>
      <c r="BH24" s="39">
        <v>0.7781818181818182</v>
      </c>
      <c r="BI24" s="50">
        <v>143</v>
      </c>
      <c r="BJ24" s="39">
        <v>0.52</v>
      </c>
      <c r="BK24" s="33" t="s">
        <v>87</v>
      </c>
      <c r="BL24" s="31">
        <v>1</v>
      </c>
      <c r="BM24" s="50">
        <v>1</v>
      </c>
      <c r="BN24" s="32">
        <v>40000</v>
      </c>
      <c r="BO24" s="31">
        <v>2</v>
      </c>
      <c r="BP24" s="33">
        <v>0</v>
      </c>
      <c r="BQ24" s="32">
        <v>0</v>
      </c>
      <c r="BR24" s="31">
        <v>13</v>
      </c>
      <c r="BS24" s="33">
        <v>11</v>
      </c>
      <c r="BT24" s="32">
        <v>82500</v>
      </c>
      <c r="BU24" s="31">
        <v>1</v>
      </c>
      <c r="BV24" s="33">
        <v>0</v>
      </c>
      <c r="BW24" s="32">
        <v>0</v>
      </c>
      <c r="BX24" s="40">
        <v>122500</v>
      </c>
      <c r="BY24" s="41">
        <v>262500</v>
      </c>
      <c r="BZ24" s="41" t="s">
        <v>84</v>
      </c>
      <c r="CA24" s="26"/>
      <c r="CB24" s="46">
        <v>1</v>
      </c>
      <c r="CC24" s="47">
        <v>1</v>
      </c>
      <c r="CD24" s="47">
        <v>1</v>
      </c>
      <c r="CE24" s="47">
        <v>50000</v>
      </c>
      <c r="CF24" s="48">
        <v>50000</v>
      </c>
      <c r="CG24" s="48" t="s">
        <v>201</v>
      </c>
      <c r="CH24" s="26"/>
      <c r="CI24" s="46">
        <v>60</v>
      </c>
      <c r="CJ24" s="47">
        <v>37</v>
      </c>
      <c r="CK24" s="56">
        <v>0.6166666666666667</v>
      </c>
      <c r="CL24" s="47">
        <v>50</v>
      </c>
      <c r="CM24" s="47">
        <v>49</v>
      </c>
      <c r="CN24" s="56">
        <v>0.98</v>
      </c>
      <c r="CO24" s="57">
        <v>19</v>
      </c>
      <c r="CP24" s="58">
        <v>3</v>
      </c>
      <c r="CQ24" s="47">
        <v>850000</v>
      </c>
      <c r="CR24" s="48">
        <v>2000000</v>
      </c>
      <c r="CS24" s="48" t="s">
        <v>84</v>
      </c>
      <c r="CT24" s="26"/>
      <c r="CU24" s="46">
        <v>627</v>
      </c>
      <c r="CV24" s="47">
        <v>140</v>
      </c>
      <c r="CW24" s="56">
        <v>-0.7767145135566188</v>
      </c>
      <c r="CX24" s="47">
        <v>202</v>
      </c>
      <c r="CY24" s="47">
        <v>60</v>
      </c>
      <c r="CZ24" s="56">
        <v>-0.70297029702970293</v>
      </c>
      <c r="DA24" s="56">
        <v>7.3744216526915873E-2</v>
      </c>
      <c r="DB24" s="58" t="s">
        <v>153</v>
      </c>
      <c r="DC24" s="47">
        <v>0</v>
      </c>
      <c r="DD24" s="48">
        <v>420000</v>
      </c>
      <c r="DE24" s="48" t="s">
        <v>150</v>
      </c>
      <c r="DF24" s="26"/>
      <c r="DG24" s="47">
        <v>251</v>
      </c>
      <c r="DH24" s="109">
        <v>193</v>
      </c>
      <c r="DI24" s="58">
        <v>64</v>
      </c>
      <c r="DJ24" s="47">
        <v>71</v>
      </c>
      <c r="DK24" s="47">
        <v>76</v>
      </c>
      <c r="DL24" s="58">
        <v>84</v>
      </c>
      <c r="DM24" s="56"/>
      <c r="DN24" s="47">
        <v>159</v>
      </c>
      <c r="DO24" s="109">
        <v>117</v>
      </c>
      <c r="DP24" s="58">
        <v>46</v>
      </c>
      <c r="DQ24" s="47">
        <v>50</v>
      </c>
      <c r="DR24" s="47">
        <v>54</v>
      </c>
      <c r="DS24" s="58">
        <v>58</v>
      </c>
      <c r="DT24" s="58">
        <v>645</v>
      </c>
      <c r="DU24" s="58">
        <v>282</v>
      </c>
      <c r="DV24" s="56">
        <v>-0.56279069767441858</v>
      </c>
      <c r="DW24" s="58">
        <v>405300</v>
      </c>
      <c r="DX24" s="58">
        <v>581700</v>
      </c>
      <c r="DY24" s="47" t="s">
        <v>84</v>
      </c>
      <c r="DZ24" s="26"/>
      <c r="EA24" s="46">
        <v>9</v>
      </c>
      <c r="EB24" s="47">
        <v>3</v>
      </c>
      <c r="EC24" s="56">
        <v>0.33333333333333331</v>
      </c>
      <c r="ED24" s="47">
        <v>75000</v>
      </c>
      <c r="EE24" s="48">
        <v>225000</v>
      </c>
      <c r="EF24" s="48" t="s">
        <v>84</v>
      </c>
    </row>
    <row r="25" spans="1:136" ht="20.25" customHeight="1" thickBot="1" x14ac:dyDescent="0.25">
      <c r="A25" s="1"/>
      <c r="B25" s="21" t="s">
        <v>116</v>
      </c>
      <c r="C25" s="21" t="s">
        <v>117</v>
      </c>
      <c r="D25" s="21" t="s">
        <v>163</v>
      </c>
      <c r="E25" s="45"/>
      <c r="F25" s="46">
        <v>220</v>
      </c>
      <c r="G25" s="47">
        <v>94</v>
      </c>
      <c r="H25" s="24">
        <v>31</v>
      </c>
      <c r="I25" s="47">
        <v>125</v>
      </c>
      <c r="J25" s="47">
        <v>95</v>
      </c>
      <c r="K25" s="47">
        <v>188000</v>
      </c>
      <c r="L25" s="48">
        <v>440000</v>
      </c>
      <c r="M25" s="48" t="s">
        <v>84</v>
      </c>
      <c r="N25" s="26"/>
      <c r="O25" s="27">
        <v>588</v>
      </c>
      <c r="P25" s="28">
        <v>617</v>
      </c>
      <c r="Q25" s="28">
        <v>214</v>
      </c>
      <c r="R25" s="29">
        <v>403</v>
      </c>
      <c r="S25" s="27">
        <v>90</v>
      </c>
      <c r="T25" s="28">
        <v>79</v>
      </c>
      <c r="U25" s="30">
        <v>-0.12222222222222223</v>
      </c>
      <c r="V25" s="27">
        <v>1388250</v>
      </c>
      <c r="W25" s="29">
        <v>481500</v>
      </c>
      <c r="X25" s="29" t="s">
        <v>84</v>
      </c>
      <c r="Y25" s="26"/>
      <c r="Z25" s="49" t="s">
        <v>85</v>
      </c>
      <c r="AA25" s="32">
        <v>12</v>
      </c>
      <c r="AB25" s="49">
        <v>391</v>
      </c>
      <c r="AC25" s="50">
        <v>89</v>
      </c>
      <c r="AD25" s="51">
        <v>-0.77237851662404089</v>
      </c>
      <c r="AE25" s="49">
        <v>367</v>
      </c>
      <c r="AF25" s="50">
        <v>189</v>
      </c>
      <c r="AG25" s="51">
        <v>-0.48501362397820158</v>
      </c>
      <c r="AH25" s="49">
        <v>100</v>
      </c>
      <c r="AI25" s="33">
        <v>89</v>
      </c>
      <c r="AJ25" s="51">
        <v>-0.10999999999999999</v>
      </c>
      <c r="AK25" s="49">
        <v>178</v>
      </c>
      <c r="AL25" s="50">
        <v>110</v>
      </c>
      <c r="AM25" s="51">
        <v>-0.3820224719101124</v>
      </c>
      <c r="AN25" s="26"/>
      <c r="AO25" s="52">
        <v>468</v>
      </c>
      <c r="AP25" s="53">
        <v>125</v>
      </c>
      <c r="AQ25" s="36">
        <v>343</v>
      </c>
      <c r="AR25" s="36">
        <v>353</v>
      </c>
      <c r="AS25" s="36">
        <v>362</v>
      </c>
      <c r="AT25" s="37">
        <v>376</v>
      </c>
      <c r="AU25" s="52">
        <v>27</v>
      </c>
      <c r="AV25" s="53">
        <v>34</v>
      </c>
      <c r="AW25" s="36">
        <v>21</v>
      </c>
      <c r="AX25" s="54">
        <v>13</v>
      </c>
      <c r="AY25" s="52">
        <v>158</v>
      </c>
      <c r="AZ25" s="53">
        <v>154</v>
      </c>
      <c r="BA25" s="55">
        <v>0.97468354430379744</v>
      </c>
      <c r="BB25" s="52">
        <v>346500</v>
      </c>
      <c r="BC25" s="54">
        <v>355500</v>
      </c>
      <c r="BD25" s="54" t="s">
        <v>86</v>
      </c>
      <c r="BE25" s="26"/>
      <c r="BF25" s="49">
        <v>190</v>
      </c>
      <c r="BG25" s="50">
        <v>176</v>
      </c>
      <c r="BH25" s="39">
        <v>0.9263157894736842</v>
      </c>
      <c r="BI25" s="50">
        <v>125</v>
      </c>
      <c r="BJ25" s="39">
        <v>0.65789473684210531</v>
      </c>
      <c r="BK25" s="33" t="s">
        <v>87</v>
      </c>
      <c r="BL25" s="31">
        <v>1</v>
      </c>
      <c r="BM25" s="50">
        <v>2</v>
      </c>
      <c r="BN25" s="32">
        <v>80000</v>
      </c>
      <c r="BO25" s="31">
        <v>1</v>
      </c>
      <c r="BP25" s="33">
        <v>0</v>
      </c>
      <c r="BQ25" s="32">
        <v>0</v>
      </c>
      <c r="BR25" s="31">
        <v>13</v>
      </c>
      <c r="BS25" s="33">
        <v>6</v>
      </c>
      <c r="BT25" s="32">
        <v>45000</v>
      </c>
      <c r="BU25" s="31">
        <v>1</v>
      </c>
      <c r="BV25" s="33">
        <v>1</v>
      </c>
      <c r="BW25" s="32">
        <v>15000</v>
      </c>
      <c r="BX25" s="40">
        <v>140000</v>
      </c>
      <c r="BY25" s="41">
        <v>207500</v>
      </c>
      <c r="BZ25" s="41" t="s">
        <v>84</v>
      </c>
      <c r="CA25" s="26"/>
      <c r="CB25" s="46">
        <v>1</v>
      </c>
      <c r="CC25" s="47">
        <v>2</v>
      </c>
      <c r="CD25" s="47">
        <v>2</v>
      </c>
      <c r="CE25" s="47">
        <v>100000</v>
      </c>
      <c r="CF25" s="48">
        <v>50000</v>
      </c>
      <c r="CG25" s="48" t="s">
        <v>84</v>
      </c>
      <c r="CH25" s="26"/>
      <c r="CI25" s="46">
        <v>37</v>
      </c>
      <c r="CJ25" s="47">
        <v>28</v>
      </c>
      <c r="CK25" s="56">
        <v>0.7567567567567568</v>
      </c>
      <c r="CL25" s="47">
        <v>40</v>
      </c>
      <c r="CM25" s="47">
        <v>37</v>
      </c>
      <c r="CN25" s="56">
        <v>0.92500000000000004</v>
      </c>
      <c r="CO25" s="57">
        <v>18</v>
      </c>
      <c r="CP25" s="58">
        <v>8</v>
      </c>
      <c r="CQ25" s="47">
        <v>960000</v>
      </c>
      <c r="CR25" s="48">
        <v>1600000</v>
      </c>
      <c r="CS25" s="48" t="s">
        <v>84</v>
      </c>
      <c r="CT25" s="26"/>
      <c r="CU25" s="46">
        <v>467</v>
      </c>
      <c r="CV25" s="47">
        <v>123</v>
      </c>
      <c r="CW25" s="56">
        <v>-0.7366167023554604</v>
      </c>
      <c r="CX25" s="47">
        <v>156</v>
      </c>
      <c r="CY25" s="47">
        <v>46</v>
      </c>
      <c r="CZ25" s="56">
        <v>-0.70512820512820507</v>
      </c>
      <c r="DA25" s="56">
        <v>3.148849722725533E-2</v>
      </c>
      <c r="DB25" s="58" t="s">
        <v>153</v>
      </c>
      <c r="DC25" s="47">
        <v>0</v>
      </c>
      <c r="DD25" s="48">
        <v>320000</v>
      </c>
      <c r="DE25" s="48" t="s">
        <v>150</v>
      </c>
      <c r="DF25" s="26"/>
      <c r="DG25" s="47">
        <v>144</v>
      </c>
      <c r="DH25" s="109">
        <v>125</v>
      </c>
      <c r="DI25" s="58">
        <v>22</v>
      </c>
      <c r="DJ25" s="47">
        <v>27</v>
      </c>
      <c r="DK25" s="47">
        <v>30</v>
      </c>
      <c r="DL25" s="58">
        <v>34</v>
      </c>
      <c r="DM25" s="56"/>
      <c r="DN25" s="47">
        <v>133</v>
      </c>
      <c r="DO25" s="109">
        <v>110</v>
      </c>
      <c r="DP25" s="58">
        <v>26</v>
      </c>
      <c r="DQ25" s="47">
        <v>30</v>
      </c>
      <c r="DR25" s="47">
        <v>33</v>
      </c>
      <c r="DS25" s="58">
        <v>37</v>
      </c>
      <c r="DT25" s="58">
        <v>391</v>
      </c>
      <c r="DU25" s="58">
        <v>214</v>
      </c>
      <c r="DV25" s="56">
        <v>-0.45268542199488493</v>
      </c>
      <c r="DW25" s="58">
        <v>262500</v>
      </c>
      <c r="DX25" s="58">
        <v>333900</v>
      </c>
      <c r="DY25" s="47" t="s">
        <v>84</v>
      </c>
      <c r="DZ25" s="26"/>
      <c r="EA25" s="46">
        <v>7</v>
      </c>
      <c r="EB25" s="47">
        <v>4</v>
      </c>
      <c r="EC25" s="56">
        <v>0.5714285714285714</v>
      </c>
      <c r="ED25" s="47">
        <v>100000</v>
      </c>
      <c r="EE25" s="48">
        <v>175000</v>
      </c>
      <c r="EF25" s="48" t="s">
        <v>84</v>
      </c>
    </row>
    <row r="26" spans="1:136" ht="20.25" customHeight="1" thickBot="1" x14ac:dyDescent="0.25">
      <c r="A26" s="1"/>
      <c r="B26" s="21" t="s">
        <v>118</v>
      </c>
      <c r="C26" s="21" t="s">
        <v>119</v>
      </c>
      <c r="D26" s="21" t="s">
        <v>164</v>
      </c>
      <c r="E26" s="45"/>
      <c r="F26" s="46">
        <v>300</v>
      </c>
      <c r="G26" s="47">
        <v>133</v>
      </c>
      <c r="H26" s="24">
        <v>84</v>
      </c>
      <c r="I26" s="47">
        <v>217</v>
      </c>
      <c r="J26" s="47">
        <v>83</v>
      </c>
      <c r="K26" s="47">
        <v>266000</v>
      </c>
      <c r="L26" s="48">
        <v>600000</v>
      </c>
      <c r="M26" s="48" t="s">
        <v>84</v>
      </c>
      <c r="N26" s="26"/>
      <c r="O26" s="27">
        <v>852</v>
      </c>
      <c r="P26" s="28">
        <v>895</v>
      </c>
      <c r="Q26" s="28">
        <v>346</v>
      </c>
      <c r="R26" s="29">
        <v>549</v>
      </c>
      <c r="S26" s="27">
        <v>157</v>
      </c>
      <c r="T26" s="28">
        <v>106</v>
      </c>
      <c r="U26" s="30">
        <v>-0.32484076433121023</v>
      </c>
      <c r="V26" s="27">
        <v>2013750</v>
      </c>
      <c r="W26" s="29">
        <v>778500</v>
      </c>
      <c r="X26" s="29" t="s">
        <v>84</v>
      </c>
      <c r="Y26" s="26"/>
      <c r="Z26" s="49" t="s">
        <v>85</v>
      </c>
      <c r="AA26" s="32">
        <v>15</v>
      </c>
      <c r="AB26" s="49">
        <v>600</v>
      </c>
      <c r="AC26" s="50">
        <v>137</v>
      </c>
      <c r="AD26" s="51">
        <v>-0.77166666666666672</v>
      </c>
      <c r="AE26" s="49">
        <v>551</v>
      </c>
      <c r="AF26" s="50">
        <v>287</v>
      </c>
      <c r="AG26" s="51">
        <v>-0.47912885662431937</v>
      </c>
      <c r="AH26" s="49">
        <v>178</v>
      </c>
      <c r="AI26" s="33">
        <v>139</v>
      </c>
      <c r="AJ26" s="51">
        <v>-0.2191011235955056</v>
      </c>
      <c r="AK26" s="49">
        <v>308</v>
      </c>
      <c r="AL26" s="50">
        <v>179</v>
      </c>
      <c r="AM26" s="51">
        <v>-0.41883116883116878</v>
      </c>
      <c r="AN26" s="26"/>
      <c r="AO26" s="52">
        <v>694</v>
      </c>
      <c r="AP26" s="53">
        <v>209</v>
      </c>
      <c r="AQ26" s="36">
        <v>485</v>
      </c>
      <c r="AR26" s="36">
        <v>499</v>
      </c>
      <c r="AS26" s="36">
        <v>513</v>
      </c>
      <c r="AT26" s="37">
        <v>534</v>
      </c>
      <c r="AU26" s="52">
        <v>43</v>
      </c>
      <c r="AV26" s="53">
        <v>54</v>
      </c>
      <c r="AW26" s="36">
        <v>45</v>
      </c>
      <c r="AX26" s="54">
        <v>9</v>
      </c>
      <c r="AY26" s="52">
        <v>237</v>
      </c>
      <c r="AZ26" s="53">
        <v>252</v>
      </c>
      <c r="BA26" s="55">
        <v>1.0632911392405062</v>
      </c>
      <c r="BB26" s="52">
        <v>567000</v>
      </c>
      <c r="BC26" s="54">
        <v>533250</v>
      </c>
      <c r="BD26" s="54" t="s">
        <v>86</v>
      </c>
      <c r="BE26" s="26"/>
      <c r="BF26" s="49">
        <v>310</v>
      </c>
      <c r="BG26" s="50">
        <v>255</v>
      </c>
      <c r="BH26" s="39">
        <v>0.82258064516129037</v>
      </c>
      <c r="BI26" s="50">
        <v>209</v>
      </c>
      <c r="BJ26" s="39">
        <v>0.67419354838709677</v>
      </c>
      <c r="BK26" s="33" t="s">
        <v>87</v>
      </c>
      <c r="BL26" s="31">
        <v>1</v>
      </c>
      <c r="BM26" s="50">
        <v>1</v>
      </c>
      <c r="BN26" s="32">
        <v>40000</v>
      </c>
      <c r="BO26" s="31">
        <v>2</v>
      </c>
      <c r="BP26" s="33">
        <v>0</v>
      </c>
      <c r="BQ26" s="32">
        <v>0</v>
      </c>
      <c r="BR26" s="31">
        <v>27</v>
      </c>
      <c r="BS26" s="33">
        <v>25</v>
      </c>
      <c r="BT26" s="32">
        <v>187500</v>
      </c>
      <c r="BU26" s="31">
        <v>1</v>
      </c>
      <c r="BV26" s="33">
        <v>1</v>
      </c>
      <c r="BW26" s="32">
        <v>15000</v>
      </c>
      <c r="BX26" s="40">
        <v>242500</v>
      </c>
      <c r="BY26" s="41">
        <v>367500</v>
      </c>
      <c r="BZ26" s="41" t="s">
        <v>84</v>
      </c>
      <c r="CA26" s="26"/>
      <c r="CB26" s="46">
        <v>1</v>
      </c>
      <c r="CC26" s="47">
        <v>1</v>
      </c>
      <c r="CD26" s="47">
        <v>1</v>
      </c>
      <c r="CE26" s="47">
        <v>50000</v>
      </c>
      <c r="CF26" s="48">
        <v>50000</v>
      </c>
      <c r="CG26" s="48" t="s">
        <v>201</v>
      </c>
      <c r="CH26" s="26"/>
      <c r="CI26" s="46">
        <v>66</v>
      </c>
      <c r="CJ26" s="47">
        <v>54</v>
      </c>
      <c r="CK26" s="56">
        <v>0.81818181818181823</v>
      </c>
      <c r="CL26" s="47">
        <v>51</v>
      </c>
      <c r="CM26" s="47">
        <v>48</v>
      </c>
      <c r="CN26" s="56">
        <v>0.94117647058823528</v>
      </c>
      <c r="CO26" s="57">
        <v>26</v>
      </c>
      <c r="CP26" s="58">
        <v>10</v>
      </c>
      <c r="CQ26" s="47">
        <v>1340000</v>
      </c>
      <c r="CR26" s="48">
        <v>2040000</v>
      </c>
      <c r="CS26" s="48" t="s">
        <v>84</v>
      </c>
      <c r="CT26" s="26"/>
      <c r="CU26" s="46">
        <v>681</v>
      </c>
      <c r="CV26" s="47">
        <v>203</v>
      </c>
      <c r="CW26" s="56">
        <v>-0.70190895741556536</v>
      </c>
      <c r="CX26" s="47">
        <v>250</v>
      </c>
      <c r="CY26" s="47">
        <v>76</v>
      </c>
      <c r="CZ26" s="56">
        <v>-0.69599999999999995</v>
      </c>
      <c r="DA26" s="56">
        <v>5.9089574155654079E-3</v>
      </c>
      <c r="DB26" s="58" t="s">
        <v>87</v>
      </c>
      <c r="DC26" s="47">
        <v>0</v>
      </c>
      <c r="DD26" s="48">
        <v>500000</v>
      </c>
      <c r="DE26" s="48" t="s">
        <v>150</v>
      </c>
      <c r="DF26" s="26"/>
      <c r="DG26" s="47">
        <v>259</v>
      </c>
      <c r="DH26" s="109">
        <v>238</v>
      </c>
      <c r="DI26" s="58">
        <v>27</v>
      </c>
      <c r="DJ26" s="47">
        <v>34</v>
      </c>
      <c r="DK26" s="47">
        <v>40</v>
      </c>
      <c r="DL26" s="58">
        <v>47</v>
      </c>
      <c r="DM26" s="56"/>
      <c r="DN26" s="47">
        <v>240</v>
      </c>
      <c r="DO26" s="109">
        <v>207</v>
      </c>
      <c r="DP26" s="58">
        <v>38</v>
      </c>
      <c r="DQ26" s="47">
        <v>45</v>
      </c>
      <c r="DR26" s="47">
        <v>50</v>
      </c>
      <c r="DS26" s="58">
        <v>57</v>
      </c>
      <c r="DT26" s="58">
        <v>603</v>
      </c>
      <c r="DU26" s="58">
        <v>346</v>
      </c>
      <c r="DV26" s="56">
        <v>-0.42620232172470973</v>
      </c>
      <c r="DW26" s="58">
        <v>499800</v>
      </c>
      <c r="DX26" s="58">
        <v>598500</v>
      </c>
      <c r="DY26" s="47" t="s">
        <v>84</v>
      </c>
      <c r="DZ26" s="26"/>
      <c r="EA26" s="46">
        <v>15</v>
      </c>
      <c r="EB26" s="47">
        <v>5</v>
      </c>
      <c r="EC26" s="56">
        <v>0.33333333333333331</v>
      </c>
      <c r="ED26" s="47">
        <v>125000</v>
      </c>
      <c r="EE26" s="48">
        <v>375000</v>
      </c>
      <c r="EF26" s="48" t="s">
        <v>84</v>
      </c>
    </row>
    <row r="27" spans="1:136" ht="20.25" customHeight="1" thickBot="1" x14ac:dyDescent="0.25">
      <c r="A27" s="1"/>
      <c r="B27" s="21" t="s">
        <v>120</v>
      </c>
      <c r="C27" s="21" t="s">
        <v>121</v>
      </c>
      <c r="D27" s="21" t="s">
        <v>165</v>
      </c>
      <c r="E27" s="45"/>
      <c r="F27" s="46">
        <v>80</v>
      </c>
      <c r="G27" s="47">
        <v>35</v>
      </c>
      <c r="H27" s="24">
        <v>14</v>
      </c>
      <c r="I27" s="47">
        <v>49</v>
      </c>
      <c r="J27" s="47">
        <v>31</v>
      </c>
      <c r="K27" s="47">
        <v>70000</v>
      </c>
      <c r="L27" s="48">
        <v>160000</v>
      </c>
      <c r="M27" s="48" t="s">
        <v>84</v>
      </c>
      <c r="N27" s="26"/>
      <c r="O27" s="27">
        <v>193</v>
      </c>
      <c r="P27" s="28">
        <v>203</v>
      </c>
      <c r="Q27" s="28">
        <v>81</v>
      </c>
      <c r="R27" s="29">
        <v>122</v>
      </c>
      <c r="S27" s="27">
        <v>16</v>
      </c>
      <c r="T27" s="28">
        <v>23</v>
      </c>
      <c r="U27" s="30">
        <v>0.4375</v>
      </c>
      <c r="V27" s="27">
        <v>456750</v>
      </c>
      <c r="W27" s="29">
        <v>182250</v>
      </c>
      <c r="X27" s="29" t="s">
        <v>84</v>
      </c>
      <c r="Y27" s="26"/>
      <c r="Z27" s="49" t="s">
        <v>97</v>
      </c>
      <c r="AA27" s="32">
        <v>7</v>
      </c>
      <c r="AB27" s="49">
        <v>137</v>
      </c>
      <c r="AC27" s="50">
        <v>36</v>
      </c>
      <c r="AD27" s="51">
        <v>-0.73722627737226276</v>
      </c>
      <c r="AE27" s="49">
        <v>77</v>
      </c>
      <c r="AF27" s="50">
        <v>51</v>
      </c>
      <c r="AG27" s="51">
        <v>-0.33766233766233766</v>
      </c>
      <c r="AH27" s="49">
        <v>38</v>
      </c>
      <c r="AI27" s="33">
        <v>36</v>
      </c>
      <c r="AJ27" s="51">
        <v>-5.2631578947368474E-2</v>
      </c>
      <c r="AK27" s="49">
        <v>38</v>
      </c>
      <c r="AL27" s="50">
        <v>28</v>
      </c>
      <c r="AM27" s="51">
        <v>-0.26315789473684215</v>
      </c>
      <c r="AN27" s="26"/>
      <c r="AO27" s="52">
        <v>152</v>
      </c>
      <c r="AP27" s="53">
        <v>45</v>
      </c>
      <c r="AQ27" s="36">
        <v>107</v>
      </c>
      <c r="AR27" s="36">
        <v>111</v>
      </c>
      <c r="AS27" s="36">
        <v>114</v>
      </c>
      <c r="AT27" s="37">
        <v>118</v>
      </c>
      <c r="AU27" s="52">
        <v>8</v>
      </c>
      <c r="AV27" s="53">
        <v>10</v>
      </c>
      <c r="AW27" s="36">
        <v>3</v>
      </c>
      <c r="AX27" s="54">
        <v>7</v>
      </c>
      <c r="AY27" s="52">
        <v>59</v>
      </c>
      <c r="AZ27" s="53">
        <v>59</v>
      </c>
      <c r="BA27" s="55">
        <v>1</v>
      </c>
      <c r="BB27" s="52">
        <v>132750</v>
      </c>
      <c r="BC27" s="54">
        <v>132750</v>
      </c>
      <c r="BD27" s="54" t="s">
        <v>86</v>
      </c>
      <c r="BE27" s="26"/>
      <c r="BF27" s="49">
        <v>55</v>
      </c>
      <c r="BG27" s="50">
        <v>42</v>
      </c>
      <c r="BH27" s="39">
        <v>0.76363636363636367</v>
      </c>
      <c r="BI27" s="50">
        <v>45</v>
      </c>
      <c r="BJ27" s="39">
        <v>0.81818181818181823</v>
      </c>
      <c r="BK27" s="33" t="s">
        <v>87</v>
      </c>
      <c r="BL27" s="31">
        <v>1</v>
      </c>
      <c r="BM27" s="50">
        <v>0</v>
      </c>
      <c r="BN27" s="32">
        <v>0</v>
      </c>
      <c r="BO27" s="31">
        <v>1</v>
      </c>
      <c r="BP27" s="33">
        <v>0</v>
      </c>
      <c r="BQ27" s="32">
        <v>0</v>
      </c>
      <c r="BR27" s="31">
        <v>4</v>
      </c>
      <c r="BS27" s="33">
        <v>2</v>
      </c>
      <c r="BT27" s="32">
        <v>15000</v>
      </c>
      <c r="BU27" s="31">
        <v>1</v>
      </c>
      <c r="BV27" s="33">
        <v>0</v>
      </c>
      <c r="BW27" s="32">
        <v>0</v>
      </c>
      <c r="BX27" s="40">
        <v>15000</v>
      </c>
      <c r="BY27" s="41">
        <v>140000</v>
      </c>
      <c r="BZ27" s="41" t="s">
        <v>84</v>
      </c>
      <c r="CA27" s="26"/>
      <c r="CB27" s="46">
        <v>1</v>
      </c>
      <c r="CC27" s="47">
        <v>0</v>
      </c>
      <c r="CD27" s="47">
        <v>0</v>
      </c>
      <c r="CE27" s="47">
        <v>0</v>
      </c>
      <c r="CF27" s="48">
        <v>50000</v>
      </c>
      <c r="CG27" s="48" t="s">
        <v>84</v>
      </c>
      <c r="CH27" s="26"/>
      <c r="CI27" s="46">
        <v>5</v>
      </c>
      <c r="CJ27" s="47">
        <v>0</v>
      </c>
      <c r="CK27" s="56">
        <v>0</v>
      </c>
      <c r="CL27" s="47">
        <v>6</v>
      </c>
      <c r="CM27" s="47">
        <v>8</v>
      </c>
      <c r="CN27" s="56">
        <v>1.3333333333333333</v>
      </c>
      <c r="CO27" s="57">
        <v>1</v>
      </c>
      <c r="CP27" s="58">
        <v>4</v>
      </c>
      <c r="CQ27" s="47">
        <v>160000</v>
      </c>
      <c r="CR27" s="48">
        <v>240000</v>
      </c>
      <c r="CS27" s="48" t="s">
        <v>84</v>
      </c>
      <c r="CT27" s="26"/>
      <c r="CU27" s="46">
        <v>150</v>
      </c>
      <c r="CV27" s="47">
        <v>45</v>
      </c>
      <c r="CW27" s="56">
        <v>-0.7</v>
      </c>
      <c r="CX27" s="47">
        <v>39</v>
      </c>
      <c r="CY27" s="47">
        <v>16</v>
      </c>
      <c r="CZ27" s="56">
        <v>-0.58974358974358976</v>
      </c>
      <c r="DA27" s="56">
        <v>0.1102564102564102</v>
      </c>
      <c r="DB27" s="58" t="s">
        <v>153</v>
      </c>
      <c r="DC27" s="47">
        <v>0</v>
      </c>
      <c r="DD27" s="48">
        <v>80000</v>
      </c>
      <c r="DE27" s="48" t="s">
        <v>150</v>
      </c>
      <c r="DF27" s="26"/>
      <c r="DG27" s="47">
        <v>97</v>
      </c>
      <c r="DH27" s="109">
        <v>101</v>
      </c>
      <c r="DI27" s="58">
        <v>-2</v>
      </c>
      <c r="DJ27" s="47">
        <v>1</v>
      </c>
      <c r="DK27" s="47">
        <v>3</v>
      </c>
      <c r="DL27" s="58">
        <v>6</v>
      </c>
      <c r="DM27" s="56"/>
      <c r="DN27" s="47">
        <v>54</v>
      </c>
      <c r="DO27" s="109">
        <v>70</v>
      </c>
      <c r="DP27" s="58">
        <v>-14</v>
      </c>
      <c r="DQ27" s="47">
        <v>-13</v>
      </c>
      <c r="DR27" s="47">
        <v>-12</v>
      </c>
      <c r="DS27" s="58">
        <v>-10</v>
      </c>
      <c r="DT27" s="58">
        <v>137</v>
      </c>
      <c r="DU27" s="58">
        <v>81</v>
      </c>
      <c r="DV27" s="56">
        <v>-0.40875912408759119</v>
      </c>
      <c r="DW27" s="58">
        <v>212100</v>
      </c>
      <c r="DX27" s="58">
        <v>224700</v>
      </c>
      <c r="DY27" s="47" t="s">
        <v>84</v>
      </c>
      <c r="DZ27" s="26"/>
      <c r="EA27" s="46">
        <v>3</v>
      </c>
      <c r="EB27" s="47">
        <v>0</v>
      </c>
      <c r="EC27" s="56">
        <v>0</v>
      </c>
      <c r="ED27" s="47">
        <v>0</v>
      </c>
      <c r="EE27" s="48">
        <v>75000</v>
      </c>
      <c r="EF27" s="48" t="s">
        <v>84</v>
      </c>
    </row>
    <row r="28" spans="1:136" ht="20.25" customHeight="1" thickBot="1" x14ac:dyDescent="0.25">
      <c r="A28" s="1"/>
      <c r="B28" s="21" t="s">
        <v>122</v>
      </c>
      <c r="C28" s="21" t="s">
        <v>123</v>
      </c>
      <c r="D28" s="21" t="s">
        <v>166</v>
      </c>
      <c r="E28" s="59"/>
      <c r="F28" s="60">
        <v>80</v>
      </c>
      <c r="G28" s="61">
        <v>38</v>
      </c>
      <c r="H28" s="24">
        <v>21</v>
      </c>
      <c r="I28" s="61">
        <v>59</v>
      </c>
      <c r="J28" s="61">
        <v>21</v>
      </c>
      <c r="K28" s="61">
        <v>76000</v>
      </c>
      <c r="L28" s="62">
        <v>160000</v>
      </c>
      <c r="M28" s="62" t="s">
        <v>84</v>
      </c>
      <c r="N28" s="63"/>
      <c r="O28" s="64">
        <v>275</v>
      </c>
      <c r="P28" s="65">
        <v>289</v>
      </c>
      <c r="Q28" s="65">
        <v>92</v>
      </c>
      <c r="R28" s="66">
        <v>197</v>
      </c>
      <c r="S28" s="64">
        <v>13</v>
      </c>
      <c r="T28" s="65">
        <v>11</v>
      </c>
      <c r="U28" s="67">
        <v>-0.15384615384615385</v>
      </c>
      <c r="V28" s="64">
        <v>650250</v>
      </c>
      <c r="W28" s="66">
        <v>207000</v>
      </c>
      <c r="X28" s="66" t="s">
        <v>84</v>
      </c>
      <c r="Y28" s="63"/>
      <c r="Z28" s="68" t="s">
        <v>97</v>
      </c>
      <c r="AA28" s="32">
        <v>11</v>
      </c>
      <c r="AB28" s="68">
        <v>213</v>
      </c>
      <c r="AC28" s="69">
        <v>34</v>
      </c>
      <c r="AD28" s="70">
        <v>-0.84037558685446012</v>
      </c>
      <c r="AE28" s="68">
        <v>119</v>
      </c>
      <c r="AF28" s="69">
        <v>44</v>
      </c>
      <c r="AG28" s="70">
        <v>-0.63025210084033612</v>
      </c>
      <c r="AH28" s="68">
        <v>35</v>
      </c>
      <c r="AI28" s="33">
        <v>34</v>
      </c>
      <c r="AJ28" s="70">
        <v>-2.8571428571428581E-2</v>
      </c>
      <c r="AK28" s="68">
        <v>54</v>
      </c>
      <c r="AL28" s="69">
        <v>33</v>
      </c>
      <c r="AM28" s="70">
        <v>-0.38888888888888884</v>
      </c>
      <c r="AN28" s="26"/>
      <c r="AO28" s="71">
        <v>196</v>
      </c>
      <c r="AP28" s="72">
        <v>58</v>
      </c>
      <c r="AQ28" s="36">
        <v>138</v>
      </c>
      <c r="AR28" s="36">
        <v>142</v>
      </c>
      <c r="AS28" s="36">
        <v>146</v>
      </c>
      <c r="AT28" s="37">
        <v>152</v>
      </c>
      <c r="AU28" s="71">
        <v>12</v>
      </c>
      <c r="AV28" s="72">
        <v>15</v>
      </c>
      <c r="AW28" s="36">
        <v>3</v>
      </c>
      <c r="AX28" s="73">
        <v>12</v>
      </c>
      <c r="AY28" s="71">
        <v>86</v>
      </c>
      <c r="AZ28" s="72">
        <v>85</v>
      </c>
      <c r="BA28" s="74">
        <v>0.98837209302325579</v>
      </c>
      <c r="BB28" s="71">
        <v>191250</v>
      </c>
      <c r="BC28" s="73">
        <v>193500</v>
      </c>
      <c r="BD28" s="73" t="s">
        <v>86</v>
      </c>
      <c r="BE28" s="26"/>
      <c r="BF28" s="68">
        <v>95</v>
      </c>
      <c r="BG28" s="69">
        <v>80</v>
      </c>
      <c r="BH28" s="75">
        <v>0.84210526315789469</v>
      </c>
      <c r="BI28" s="69">
        <v>58</v>
      </c>
      <c r="BJ28" s="75">
        <v>0.61052631578947369</v>
      </c>
      <c r="BK28" s="76" t="s">
        <v>87</v>
      </c>
      <c r="BL28" s="31">
        <v>1</v>
      </c>
      <c r="BM28" s="69">
        <v>0</v>
      </c>
      <c r="BN28" s="32">
        <v>0</v>
      </c>
      <c r="BO28" s="78">
        <v>1</v>
      </c>
      <c r="BP28" s="76">
        <v>0</v>
      </c>
      <c r="BQ28" s="77">
        <v>0</v>
      </c>
      <c r="BR28" s="78">
        <v>3</v>
      </c>
      <c r="BS28" s="76">
        <v>3</v>
      </c>
      <c r="BT28" s="77">
        <v>22500</v>
      </c>
      <c r="BU28" s="78">
        <v>1</v>
      </c>
      <c r="BV28" s="76">
        <v>0</v>
      </c>
      <c r="BW28" s="77">
        <v>0</v>
      </c>
      <c r="BX28" s="79">
        <v>22500</v>
      </c>
      <c r="BY28" s="80">
        <v>132500</v>
      </c>
      <c r="BZ28" s="80" t="s">
        <v>84</v>
      </c>
      <c r="CA28" s="26"/>
      <c r="CB28" s="60">
        <v>1</v>
      </c>
      <c r="CC28" s="61">
        <v>0</v>
      </c>
      <c r="CD28" s="61">
        <v>0</v>
      </c>
      <c r="CE28" s="61">
        <v>0</v>
      </c>
      <c r="CF28" s="62">
        <v>50000</v>
      </c>
      <c r="CG28" s="62" t="s">
        <v>84</v>
      </c>
      <c r="CH28" s="26"/>
      <c r="CI28" s="60">
        <v>7</v>
      </c>
      <c r="CJ28" s="61">
        <v>9</v>
      </c>
      <c r="CK28" s="81">
        <v>1.2857142857142858</v>
      </c>
      <c r="CL28" s="61">
        <v>6</v>
      </c>
      <c r="CM28" s="61">
        <v>5</v>
      </c>
      <c r="CN28" s="81">
        <v>0.83333333333333337</v>
      </c>
      <c r="CO28" s="82">
        <v>0</v>
      </c>
      <c r="CP28" s="83">
        <v>0</v>
      </c>
      <c r="CQ28" s="61">
        <v>0</v>
      </c>
      <c r="CR28" s="62">
        <v>240000</v>
      </c>
      <c r="CS28" s="62" t="s">
        <v>84</v>
      </c>
      <c r="CT28" s="26"/>
      <c r="CU28" s="60">
        <v>195</v>
      </c>
      <c r="CV28" s="61">
        <v>58</v>
      </c>
      <c r="CW28" s="81">
        <v>-0.70256410256410251</v>
      </c>
      <c r="CX28" s="61">
        <v>76</v>
      </c>
      <c r="CY28" s="61">
        <v>23</v>
      </c>
      <c r="CZ28" s="81">
        <v>-0.69736842105263164</v>
      </c>
      <c r="DA28" s="81">
        <v>5.1956815114708732E-3</v>
      </c>
      <c r="DB28" s="83" t="s">
        <v>87</v>
      </c>
      <c r="DC28" s="47">
        <v>0</v>
      </c>
      <c r="DD28" s="62">
        <v>160000</v>
      </c>
      <c r="DE28" s="62" t="s">
        <v>150</v>
      </c>
      <c r="DF28" s="26"/>
      <c r="DG28" s="47">
        <v>41</v>
      </c>
      <c r="DH28" s="109">
        <v>77</v>
      </c>
      <c r="DI28" s="58">
        <v>-35</v>
      </c>
      <c r="DJ28" s="47">
        <v>-33</v>
      </c>
      <c r="DK28" s="47">
        <v>-33</v>
      </c>
      <c r="DL28" s="58">
        <v>-31</v>
      </c>
      <c r="DM28" s="56"/>
      <c r="DN28" s="47">
        <v>13</v>
      </c>
      <c r="DO28" s="109">
        <v>51</v>
      </c>
      <c r="DP28" s="58">
        <v>-37</v>
      </c>
      <c r="DQ28" s="47">
        <v>-37</v>
      </c>
      <c r="DR28" s="47">
        <v>-37</v>
      </c>
      <c r="DS28" s="58">
        <v>-36</v>
      </c>
      <c r="DT28" s="58">
        <v>213</v>
      </c>
      <c r="DU28" s="58">
        <v>92</v>
      </c>
      <c r="DV28" s="56">
        <v>-0.568075117370892</v>
      </c>
      <c r="DW28" s="58">
        <v>161700</v>
      </c>
      <c r="DX28" s="58">
        <v>96600</v>
      </c>
      <c r="DY28" s="47" t="s">
        <v>84</v>
      </c>
      <c r="DZ28" s="26"/>
      <c r="EA28" s="60">
        <v>3</v>
      </c>
      <c r="EB28" s="61">
        <v>0</v>
      </c>
      <c r="EC28" s="81">
        <v>0</v>
      </c>
      <c r="ED28" s="61">
        <v>0</v>
      </c>
      <c r="EE28" s="62">
        <v>75000</v>
      </c>
      <c r="EF28" s="62" t="s">
        <v>84</v>
      </c>
    </row>
    <row r="29" spans="1:136" ht="15" thickBot="1" x14ac:dyDescent="0.25"/>
    <row r="30" spans="1:136" ht="15.75" thickBot="1" x14ac:dyDescent="0.25">
      <c r="A30" s="1"/>
      <c r="B30" s="21" t="s">
        <v>167</v>
      </c>
      <c r="C30" s="21"/>
      <c r="D30" s="21" t="s">
        <v>168</v>
      </c>
      <c r="E30" s="45"/>
      <c r="F30" s="60">
        <v>80</v>
      </c>
      <c r="G30" s="61">
        <v>0</v>
      </c>
      <c r="H30" s="61">
        <v>0</v>
      </c>
      <c r="I30" s="61">
        <v>0</v>
      </c>
      <c r="J30" s="61">
        <v>80</v>
      </c>
      <c r="K30" s="61">
        <v>0</v>
      </c>
      <c r="L30" s="62">
        <v>0</v>
      </c>
      <c r="M30" s="62" t="s">
        <v>84</v>
      </c>
      <c r="N30" s="63"/>
      <c r="O30" s="64">
        <v>275</v>
      </c>
      <c r="P30" s="65">
        <v>289</v>
      </c>
      <c r="Q30" s="65">
        <v>0</v>
      </c>
      <c r="R30" s="66">
        <v>289</v>
      </c>
      <c r="S30" s="64">
        <v>13</v>
      </c>
      <c r="T30" s="65">
        <v>0</v>
      </c>
      <c r="U30" s="67">
        <v>-1</v>
      </c>
      <c r="V30" s="64">
        <v>650250</v>
      </c>
      <c r="W30" s="66">
        <v>0</v>
      </c>
      <c r="X30" s="66" t="s">
        <v>84</v>
      </c>
      <c r="Y30" s="63"/>
      <c r="Z30" s="68" t="s">
        <v>97</v>
      </c>
      <c r="AA30" s="32">
        <v>11</v>
      </c>
      <c r="AB30" s="68">
        <v>213</v>
      </c>
      <c r="AC30" s="69">
        <v>0</v>
      </c>
      <c r="AD30" s="70">
        <v>-1</v>
      </c>
      <c r="AE30" s="68">
        <v>119</v>
      </c>
      <c r="AF30" s="69">
        <v>0</v>
      </c>
      <c r="AG30" s="70">
        <v>-1</v>
      </c>
      <c r="AH30" s="68">
        <v>35</v>
      </c>
      <c r="AI30" s="69">
        <v>0</v>
      </c>
      <c r="AJ30" s="70">
        <v>-1</v>
      </c>
      <c r="AK30" s="68">
        <v>0</v>
      </c>
      <c r="AL30" s="69">
        <v>0</v>
      </c>
      <c r="AM30" s="70" t="e">
        <v>#DIV/0!</v>
      </c>
      <c r="AN30" s="26"/>
      <c r="AO30" s="71">
        <v>196</v>
      </c>
      <c r="AP30" s="72">
        <v>0</v>
      </c>
      <c r="AQ30" s="36">
        <v>196</v>
      </c>
      <c r="AR30" s="36">
        <v>200</v>
      </c>
      <c r="AS30" s="36">
        <v>204</v>
      </c>
      <c r="AT30" s="37">
        <v>210</v>
      </c>
      <c r="AU30" s="71">
        <v>12</v>
      </c>
      <c r="AV30" s="72">
        <v>15</v>
      </c>
      <c r="AW30" s="72">
        <v>0</v>
      </c>
      <c r="AX30" s="73">
        <v>15</v>
      </c>
      <c r="AY30" s="71">
        <v>24</v>
      </c>
      <c r="AZ30" s="72">
        <v>0</v>
      </c>
      <c r="BA30" s="74">
        <v>0</v>
      </c>
      <c r="BB30" s="71">
        <v>0</v>
      </c>
      <c r="BC30" s="73">
        <v>54000</v>
      </c>
      <c r="BD30" s="73" t="s">
        <v>86</v>
      </c>
      <c r="BE30" s="26"/>
      <c r="BF30" s="68">
        <v>65</v>
      </c>
      <c r="BG30" s="69">
        <v>0</v>
      </c>
      <c r="BH30" s="75">
        <v>0</v>
      </c>
      <c r="BI30" s="69">
        <v>0</v>
      </c>
      <c r="BJ30" s="75">
        <v>0</v>
      </c>
      <c r="BK30" s="76" t="s">
        <v>87</v>
      </c>
      <c r="BL30" s="31">
        <v>1</v>
      </c>
      <c r="BM30" s="69">
        <v>0</v>
      </c>
      <c r="BN30" s="77">
        <v>0</v>
      </c>
      <c r="BO30" s="78">
        <v>1</v>
      </c>
      <c r="BP30" s="76">
        <v>0</v>
      </c>
      <c r="BQ30" s="77">
        <v>0</v>
      </c>
      <c r="BR30" s="78">
        <v>3</v>
      </c>
      <c r="BS30" s="76">
        <v>0</v>
      </c>
      <c r="BT30" s="77">
        <v>0</v>
      </c>
      <c r="BU30" s="78">
        <v>1</v>
      </c>
      <c r="BV30" s="76">
        <v>0</v>
      </c>
      <c r="BW30" s="77">
        <v>0</v>
      </c>
      <c r="BX30" s="79">
        <v>0</v>
      </c>
      <c r="BY30" s="80">
        <v>132500</v>
      </c>
      <c r="BZ30" s="80" t="s">
        <v>84</v>
      </c>
      <c r="CA30" s="26"/>
      <c r="CB30" s="60">
        <v>1</v>
      </c>
      <c r="CC30" s="61">
        <v>0</v>
      </c>
      <c r="CD30" s="61">
        <v>0</v>
      </c>
      <c r="CE30" s="61">
        <v>0</v>
      </c>
      <c r="CF30" s="62">
        <v>50000</v>
      </c>
      <c r="CG30" s="62" t="s">
        <v>84</v>
      </c>
      <c r="CH30" s="26"/>
      <c r="CI30" s="60">
        <v>7</v>
      </c>
      <c r="CJ30" s="61">
        <v>0</v>
      </c>
      <c r="CK30" s="61">
        <v>0</v>
      </c>
      <c r="CL30" s="61">
        <v>6</v>
      </c>
      <c r="CM30" s="61">
        <v>0</v>
      </c>
      <c r="CN30" s="81">
        <v>0</v>
      </c>
      <c r="CO30" s="82">
        <v>0</v>
      </c>
      <c r="CP30" s="83">
        <v>0</v>
      </c>
      <c r="CQ30" s="61">
        <v>0</v>
      </c>
      <c r="CR30" s="62">
        <v>240000</v>
      </c>
      <c r="CS30" s="62" t="s">
        <v>84</v>
      </c>
      <c r="CT30" s="26"/>
      <c r="CU30" s="60">
        <v>195</v>
      </c>
      <c r="CV30" s="61">
        <v>0</v>
      </c>
      <c r="CW30" s="81">
        <v>-1</v>
      </c>
      <c r="CX30" s="61">
        <v>76</v>
      </c>
      <c r="CY30" s="61">
        <v>0</v>
      </c>
      <c r="CZ30" s="81">
        <v>-1</v>
      </c>
      <c r="DA30" s="81">
        <v>0</v>
      </c>
      <c r="DB30" s="83" t="s">
        <v>87</v>
      </c>
      <c r="DC30" s="24">
        <v>0</v>
      </c>
      <c r="DD30" s="62">
        <v>160000</v>
      </c>
      <c r="DE30" s="62" t="s">
        <v>150</v>
      </c>
      <c r="DF30" s="26"/>
      <c r="DG30" s="60">
        <v>195</v>
      </c>
      <c r="DH30" s="61">
        <v>0</v>
      </c>
      <c r="DI30" s="81">
        <v>-1</v>
      </c>
      <c r="DJ30" s="61">
        <v>76</v>
      </c>
      <c r="DK30" s="61">
        <v>0</v>
      </c>
      <c r="DL30" s="81">
        <v>-1</v>
      </c>
      <c r="DM30" s="81">
        <v>0</v>
      </c>
      <c r="DN30" s="83" t="s">
        <v>87</v>
      </c>
      <c r="DO30" s="108"/>
      <c r="DP30" s="108"/>
      <c r="DQ30" s="108"/>
      <c r="DR30" s="24">
        <v>0</v>
      </c>
      <c r="DS30" s="62">
        <v>160000</v>
      </c>
      <c r="DT30" s="62"/>
      <c r="DU30" s="62"/>
      <c r="DV30" s="62"/>
      <c r="DW30" s="62"/>
      <c r="DX30" s="62"/>
      <c r="DY30" s="62" t="s">
        <v>150</v>
      </c>
    </row>
  </sheetData>
  <mergeCells count="116">
    <mergeCell ref="O4:O9"/>
    <mergeCell ref="Z4:Z9"/>
    <mergeCell ref="AA4:AM4"/>
    <mergeCell ref="P5:X5"/>
    <mergeCell ref="P6:X6"/>
    <mergeCell ref="AP5:BD5"/>
    <mergeCell ref="CQ10:CQ11"/>
    <mergeCell ref="CR10:CR11"/>
    <mergeCell ref="DC10:DC11"/>
    <mergeCell ref="AA6:AM6"/>
    <mergeCell ref="AP6:BD6"/>
    <mergeCell ref="BG6:BZ6"/>
    <mergeCell ref="AA7:AM7"/>
    <mergeCell ref="AP7:BD7"/>
    <mergeCell ref="BG7:BZ7"/>
    <mergeCell ref="CJ5:CS7"/>
    <mergeCell ref="AO4:AO9"/>
    <mergeCell ref="AP4:BD4"/>
    <mergeCell ref="BF4:BF9"/>
    <mergeCell ref="BG4:BZ5"/>
    <mergeCell ref="CB4:CB9"/>
    <mergeCell ref="CC4:CG7"/>
    <mergeCell ref="CI4:CI9"/>
    <mergeCell ref="CJ4:CS4"/>
    <mergeCell ref="DD10:DD11"/>
    <mergeCell ref="B3:B11"/>
    <mergeCell ref="C3:C11"/>
    <mergeCell ref="D3:D11"/>
    <mergeCell ref="F10:F11"/>
    <mergeCell ref="G10:G11"/>
    <mergeCell ref="G4:M4"/>
    <mergeCell ref="P4:X4"/>
    <mergeCell ref="F3:M3"/>
    <mergeCell ref="O3:X3"/>
    <mergeCell ref="P7:X7"/>
    <mergeCell ref="AA8:AM8"/>
    <mergeCell ref="G5:M5"/>
    <mergeCell ref="BF3:BZ3"/>
    <mergeCell ref="CB3:CG3"/>
    <mergeCell ref="CI3:CS3"/>
    <mergeCell ref="CU3:DE3"/>
    <mergeCell ref="F4:F9"/>
    <mergeCell ref="Z3:AM3"/>
    <mergeCell ref="AO3:BD3"/>
    <mergeCell ref="CU4:CU9"/>
    <mergeCell ref="CV4:DE4"/>
    <mergeCell ref="AA5:AM5"/>
    <mergeCell ref="CV5:DE5"/>
    <mergeCell ref="M10:M11"/>
    <mergeCell ref="O10:R10"/>
    <mergeCell ref="S10:U10"/>
    <mergeCell ref="V10:V11"/>
    <mergeCell ref="W10:W11"/>
    <mergeCell ref="H10:H11"/>
    <mergeCell ref="I10:I11"/>
    <mergeCell ref="J10:J11"/>
    <mergeCell ref="K10:K11"/>
    <mergeCell ref="L10:L11"/>
    <mergeCell ref="BL10:BN10"/>
    <mergeCell ref="BO10:BQ10"/>
    <mergeCell ref="AH10:AJ10"/>
    <mergeCell ref="AK10:AM10"/>
    <mergeCell ref="AO10:AT10"/>
    <mergeCell ref="AU10:AX10"/>
    <mergeCell ref="AY10:BA10"/>
    <mergeCell ref="X10:X11"/>
    <mergeCell ref="Z10:Z11"/>
    <mergeCell ref="AA10:AA11"/>
    <mergeCell ref="AB10:AD10"/>
    <mergeCell ref="AE10:AG10"/>
    <mergeCell ref="CU10:CW10"/>
    <mergeCell ref="CX10:CZ10"/>
    <mergeCell ref="DA10:DB10"/>
    <mergeCell ref="DE10:DE11"/>
    <mergeCell ref="G6:G7"/>
    <mergeCell ref="H6:I6"/>
    <mergeCell ref="CG10:CG11"/>
    <mergeCell ref="CI10:CK10"/>
    <mergeCell ref="CL10:CN10"/>
    <mergeCell ref="CO10:CP10"/>
    <mergeCell ref="CS10:CS11"/>
    <mergeCell ref="CB10:CB11"/>
    <mergeCell ref="CC10:CC11"/>
    <mergeCell ref="CD10:CD11"/>
    <mergeCell ref="CE10:CE11"/>
    <mergeCell ref="CF10:CF11"/>
    <mergeCell ref="BR10:BT10"/>
    <mergeCell ref="BU10:BW10"/>
    <mergeCell ref="BX10:BX11"/>
    <mergeCell ref="BY10:BY11"/>
    <mergeCell ref="BZ10:BZ11"/>
    <mergeCell ref="BB10:BC10"/>
    <mergeCell ref="BD10:BD11"/>
    <mergeCell ref="BF10:BK10"/>
    <mergeCell ref="DW10:DW11"/>
    <mergeCell ref="DX10:DX11"/>
    <mergeCell ref="DY10:DY11"/>
    <mergeCell ref="DG10:DH10"/>
    <mergeCell ref="DI10:DL10"/>
    <mergeCell ref="DN10:DO10"/>
    <mergeCell ref="DP10:DS10"/>
    <mergeCell ref="DT10:DV10"/>
    <mergeCell ref="DG3:DY3"/>
    <mergeCell ref="DG4:DG9"/>
    <mergeCell ref="DH4:DY4"/>
    <mergeCell ref="DH5:DH9"/>
    <mergeCell ref="DL5:DL9"/>
    <mergeCell ref="EA3:EF3"/>
    <mergeCell ref="EA4:EA9"/>
    <mergeCell ref="EB4:EF7"/>
    <mergeCell ref="EA10:EA11"/>
    <mergeCell ref="EB10:EB11"/>
    <mergeCell ref="EC10:EC11"/>
    <mergeCell ref="ED10:ED11"/>
    <mergeCell ref="EE10:EE11"/>
    <mergeCell ref="EF10:EF11"/>
  </mergeCells>
  <conditionalFormatting sqref="B16:C23 E16:E23">
    <cfRule type="cellIs" dxfId="0" priority="1" operator="lessThan">
      <formula>0</formula>
    </cfRule>
  </conditionalFormatting>
  <pageMargins left="0.7" right="0.7" top="0.75" bottom="0.75" header="0.3" footer="0.3"/>
  <headerFooter>
    <oddHeader>&amp;C&amp;"Aptos"&amp;10&amp;K0000FF Information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ROC4/Pathak Abhishek Banwari, AM-TSM-SALES(RC4-NC)</dc:creator>
  <cp:lastModifiedBy>ROC4/E/Nexa_Backoffice_Sales (RC4-NC)</cp:lastModifiedBy>
  <dcterms:created xsi:type="dcterms:W3CDTF">2026-10-08T08:12:35Z</dcterms:created>
  <dcterms:modified xsi:type="dcterms:W3CDTF">2026-10-31T12:35:58Z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2026-10-08T08:12:57Z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cfb585ba-1bc6-4e37-bccc-a20f3adc52f1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</Properties>
</file>